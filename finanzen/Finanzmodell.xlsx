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Preise" sheetId="2" state="visible" r:id="rId4"/>
    <sheet name="Annahmen" sheetId="3" state="visible" r:id="rId5"/>
    <sheet name="Solo Konservativ" sheetId="4" state="visible" r:id="rId6"/>
    <sheet name="Solo Basis" sheetId="5" state="visible" r:id="rId7"/>
    <sheet name="Solo Optimistisch" sheetId="6" state="visible" r:id="rId8"/>
    <sheet name="Ausbau ab 10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<sst xmlns="http://schemas.openxmlformats.org/spreadsheetml/2006/main" count="336" uniqueCount="192">
  <si>
    <t xml:space="preserve">Übersicht – Solo-Plan bis 10.000 € MRR, danach Ausbau mit Team</t>
  </si>
  <si>
    <t xml:space="preserve">Ergebnis vor Steuern. Im Solo-Plan ist das Ergebnis das Einkommen des Gründers (davon 35–40 % für Steuern/Sozialversicherung zurücklegen).</t>
  </si>
  <si>
    <t xml:space="preserve">Solo-Plan</t>
  </si>
  <si>
    <t xml:space="preserve">Konservativ</t>
  </si>
  <si>
    <t xml:space="preserve">Basis</t>
  </si>
  <si>
    <t xml:space="preserve">Optimistisch</t>
  </si>
  <si>
    <t xml:space="preserve">MRR Monat 6 (Apr 27)</t>
  </si>
  <si>
    <t xml:space="preserve">MRR Monat 12 (Okt 27)</t>
  </si>
  <si>
    <t xml:space="preserve">MRR Monat 24 (Okt 28)</t>
  </si>
  <si>
    <t xml:space="preserve">Monat, in dem 10.000 € MRR erreicht werden</t>
  </si>
  <si>
    <t xml:space="preserve">Einkommen erste 12 Monate (vor Steuern)</t>
  </si>
  <si>
    <t xml:space="preserve">Abschlüsse erste 12 Monate</t>
  </si>
  <si>
    <t xml:space="preserve">Belegte Stunden Monat 12</t>
  </si>
  <si>
    <t xml:space="preserve">Ausbau ab 10.000 € MRR (Team)</t>
  </si>
  <si>
    <t xml:space="preserve">Wert</t>
  </si>
  <si>
    <t xml:space="preserve">Team-Start</t>
  </si>
  <si>
    <t xml:space="preserve">Umsatz erste 12 Team-Monate</t>
  </si>
  <si>
    <t xml:space="preserve">Ergebnis erste 12 Team-Monate</t>
  </si>
  <si>
    <t xml:space="preserve">MRR nach 12 Team-Monaten</t>
  </si>
  <si>
    <t xml:space="preserve">Tiefster Kassenstand im Ausbau</t>
  </si>
  <si>
    <t xml:space="preserve">Jahresumsatz-Tempo im 12. Team-Monat</t>
  </si>
  <si>
    <t xml:space="preserve">MRR je Monat (Solo)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</si>
  <si>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</si>
  <si>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</si>
  <si>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</si>
  <si>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</si>
  <si>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</si>
  <si>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</si>
  <si>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</si>
  <si>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</si>
  <si>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</si>
  <si>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</si>
  <si>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</si>
  <si>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</si>
  <si>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</si>
  <si>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</si>
  <si>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Jan 28</t>
  </si>
  <si>
    <t xml:space="preserve">Feb 28</t>
  </si>
  <si>
    <t xml:space="preserve">Mär 28</t>
  </si>
  <si>
    <t xml:space="preserve">Apr 28</t>
  </si>
  <si>
    <t xml:space="preserve">Mai 28</t>
  </si>
  <si>
    <t xml:space="preserve">Jun 28</t>
  </si>
  <si>
    <t xml:space="preserve">Jul 28</t>
  </si>
  <si>
    <t xml:space="preserve">Aug 28</t>
  </si>
  <si>
    <t xml:space="preserve">Sep 28</t>
  </si>
  <si>
    <t xml:space="preserve">Okt 28</t>
  </si>
  <si>
    <t xml:space="preserve">Preisübersicht und Verdienst je Abschluss</t>
  </si>
  <si>
    <t xml:space="preserve">Blaue Werte sind Eingaben. Stunden = alles selbst gemacht, inkl. Vertrieb je Abschluss (Pflege wird mit der Website verkauft).</t>
  </si>
  <si>
    <t xml:space="preserve">Vertriebsstunden je Abschluss</t>
  </si>
  <si>
    <t xml:space="preserve">Produkt</t>
  </si>
  <si>
    <t xml:space="preserve">Einmalig</t>
  </si>
  <si>
    <t xml:space="preserve">Monatlich</t>
  </si>
  <si>
    <t xml:space="preserve">Std. einmalig</t>
  </si>
  <si>
    <t xml:space="preserve">Std. je Monat</t>
  </si>
  <si>
    <t xml:space="preserve">Umsatz 1. Jahr</t>
  </si>
  <si>
    <t xml:space="preserve">Stunden 1. Jahr</t>
  </si>
  <si>
    <t xml:space="preserve">€ je Stunde</t>
  </si>
  <si>
    <t xml:space="preserve">Hinweis</t>
  </si>
  <si>
    <t xml:space="preserve">Website Start</t>
  </si>
  <si>
    <t xml:space="preserve">bis 5 Seiten, fertig in 2–3 Wochen</t>
  </si>
  <si>
    <t xml:space="preserve">Website Wachstum</t>
  </si>
  <si>
    <t xml:space="preserve">bis 15 Seiten, Orts- und Karriereseiten</t>
  </si>
  <si>
    <t xml:space="preserve">Pflege &amp; Hosting Start</t>
  </si>
  <si>
    <t xml:space="preserve">monatlich kündbar</t>
  </si>
  <si>
    <t xml:space="preserve">Pflege &amp; Hosting Wachstum</t>
  </si>
  <si>
    <t xml:space="preserve">inkl. 1 h Änderungen</t>
  </si>
  <si>
    <t xml:space="preserve">SEO Lokal</t>
  </si>
  <si>
    <t xml:space="preserve">6 Monate Mindestlaufzeit</t>
  </si>
  <si>
    <t xml:space="preserve">SEO Plus</t>
  </si>
  <si>
    <t xml:space="preserve">Google-Ads-Betreuung</t>
  </si>
  <si>
    <t xml:space="preserve">zzgl. Werbebudget, monatlich kündbar</t>
  </si>
  <si>
    <t xml:space="preserve">Recruiting-Paket</t>
  </si>
  <si>
    <t xml:space="preserve">zzgl. Werbebudget, 3 Monate Mindestlaufzeit</t>
  </si>
  <si>
    <t xml:space="preserve">Wachstumsprogramm</t>
  </si>
  <si>
    <t xml:space="preserve">12 Monate, Website + SEO Plus + Ads inklusive</t>
  </si>
  <si>
    <t xml:space="preserve">Faustregel netto: Vom Gewinn 35–40 % für Einkommensteuer und Sozialversicherung zurücklegen (Steuerberater fragen).</t>
  </si>
  <si>
    <t xml:space="preserve">Annahmen Solo-Plan (Gründer macht Vertrieb und Umsetzung allein)</t>
  </si>
  <si>
    <t xml:space="preserve">Blaue Zahlen sind Eingaben. Gelb = wichtigste Hebel. Monat 1 = November 2026.</t>
  </si>
  <si>
    <t xml:space="preserve">Annahme</t>
  </si>
  <si>
    <t xml:space="preserve">Ø Website-Auftrag (einmalig)</t>
  </si>
  <si>
    <t xml:space="preserve">Ø Pflege &amp; Hosting / Monat</t>
  </si>
  <si>
    <t xml:space="preserve">Wachstumsprogramm / Monat</t>
  </si>
  <si>
    <t xml:space="preserve">Ø SEO / Monat</t>
  </si>
  <si>
    <t xml:space="preserve">Recruiting-Paket / Monat</t>
  </si>
  <si>
    <t xml:space="preserve">Recruiting-Einrichtung</t>
  </si>
  <si>
    <t xml:space="preserve">Anteil Abschlüsse: Website (+ Pflege)</t>
  </si>
  <si>
    <t xml:space="preserve">Anteil Abschlüsse: Wachstumsprogramm</t>
  </si>
  <si>
    <t xml:space="preserve">Anteil Abschlüsse: SEO</t>
  </si>
  <si>
    <t xml:space="preserve">Anteil Abschlüsse: Recruiting</t>
  </si>
  <si>
    <t xml:space="preserve">Kündigung Pflege / Monat</t>
  </si>
  <si>
    <t xml:space="preserve">Kündigung Programm / Monat</t>
  </si>
  <si>
    <t xml:space="preserve">Kündigung SEO / Monat</t>
  </si>
  <si>
    <t xml:space="preserve">Kündigung Recruiting / Monat</t>
  </si>
  <si>
    <t xml:space="preserve">Std. je neuer Website</t>
  </si>
  <si>
    <t xml:space="preserve">Std. Einrichtung Programm</t>
  </si>
  <si>
    <t xml:space="preserve">Std. Einrichtung SEO</t>
  </si>
  <si>
    <t xml:space="preserve">Std. Einrichtung Recruiting</t>
  </si>
  <si>
    <t xml:space="preserve">Std. je Pflege-Kunde / Monat</t>
  </si>
  <si>
    <t xml:space="preserve">Std. je Programm-Kunde / Monat</t>
  </si>
  <si>
    <t xml:space="preserve">Std. je SEO-Kunde / Monat</t>
  </si>
  <si>
    <t xml:space="preserve">Std. je Recruiting-Kunde / Monat</t>
  </si>
  <si>
    <t xml:space="preserve">Arbeitsstunden pro Monat</t>
  </si>
  <si>
    <t xml:space="preserve">Fixkosten / Monat</t>
  </si>
  <si>
    <t xml:space="preserve">Eigenes Marketing / Monat</t>
  </si>
  <si>
    <t xml:space="preserve">Std. je neuem Abschluss (Ø, inkl. Vertrieb)</t>
  </si>
  <si>
    <t xml:space="preserve">Abschluss-Ziel (Vertriebstempo)</t>
  </si>
  <si>
    <t xml:space="preserve">Abschlüsse / Monat, Monat 1–2</t>
  </si>
  <si>
    <t xml:space="preserve">Abschlüsse / Monat, ab Monat 3</t>
  </si>
  <si>
    <t xml:space="preserve">Solo-Plan · Szenario Konservativ (24 Monate ab Nov 2026)</t>
  </si>
  <si>
    <t xml:space="preserve">Abschlüsse = Minimum aus Vertriebstempo und freien Stunden. Kundenzahlen sind Erwartungswerte.</t>
  </si>
  <si>
    <t xml:space="preserve">Monat</t>
  </si>
  <si>
    <t xml:space="preserve">Abschluss-Ziel (Vertrieb)</t>
  </si>
  <si>
    <t xml:space="preserve">Laufende Stunden (Bestand)</t>
  </si>
  <si>
    <t xml:space="preserve">Möglich nach Stunden</t>
  </si>
  <si>
    <t xml:space="preserve">Abschlüsse</t>
  </si>
  <si>
    <t xml:space="preserve">Aktive Pflege-Kunden</t>
  </si>
  <si>
    <t xml:space="preserve">Aktive Programm-Kunden</t>
  </si>
  <si>
    <t xml:space="preserve">Aktive SEO-Kunden</t>
  </si>
  <si>
    <t xml:space="preserve">Aktive Recruiting-Kunden</t>
  </si>
  <si>
    <t xml:space="preserve">MRR</t>
  </si>
  <si>
    <t xml:space="preserve">Einmalumsatz</t>
  </si>
  <si>
    <t xml:space="preserve">Umsatz</t>
  </si>
  <si>
    <t xml:space="preserve">Kosten</t>
  </si>
  <si>
    <t xml:space="preserve">Ergebnis vor Steuern (= Einkommen Gründer)</t>
  </si>
  <si>
    <t xml:space="preserve">Kasse kumuliert</t>
  </si>
  <si>
    <t xml:space="preserve">Belegte Stunden</t>
  </si>
  <si>
    <t xml:space="preserve">Solo-Plan · Szenario Basis (24 Monate ab Nov 2026)</t>
  </si>
  <si>
    <t xml:space="preserve">Solo-Plan · Szenario Optimistisch (24 Monate ab Nov 2026)</t>
  </si>
  <si>
    <t xml:space="preserve">Ausbau-Plan: Team ab dem Monat nach 10.000 € MRR (Solo Basis)</t>
  </si>
  <si>
    <t xml:space="preserve">Startbestand kommt automatisch aus „Solo Basis“ (erster Monat mit MRR ≥ 10.000 €). Blaue Werte sind Eingaben.</t>
  </si>
  <si>
    <t xml:space="preserve">Kennzahl</t>
  </si>
  <si>
    <t xml:space="preserve">Summe 12 Monate</t>
  </si>
  <si>
    <t xml:space="preserve">Ø Website-Auftrag</t>
  </si>
  <si>
    <t xml:space="preserve">Personen im Vertrieb (inkl. Gründer)</t>
  </si>
  <si>
    <t xml:space="preserve">Pflege &amp; Hosting / Monat</t>
  </si>
  <si>
    <t xml:space="preserve">Terminierer</t>
  </si>
  <si>
    <t xml:space="preserve">SEO / Monat</t>
  </si>
  <si>
    <t xml:space="preserve">Angestellte Closer</t>
  </si>
  <si>
    <t xml:space="preserve">Ads-Betreuung / Monat</t>
  </si>
  <si>
    <t xml:space="preserve">davon neu</t>
  </si>
  <si>
    <t xml:space="preserve">Ads-Einrichtung</t>
  </si>
  <si>
    <t xml:space="preserve">Eingearbeitete Closer-Äquivalente</t>
  </si>
  <si>
    <t xml:space="preserve">neue Website-Kunden</t>
  </si>
  <si>
    <t xml:space="preserve">Recruiting / Monat</t>
  </si>
  <si>
    <t xml:space="preserve">neue SEO-Kunden</t>
  </si>
  <si>
    <t xml:space="preserve">Anteil Website-Abschlüsse</t>
  </si>
  <si>
    <t xml:space="preserve">neue Ads-Kunden</t>
  </si>
  <si>
    <t xml:space="preserve">Anteil Programm-Abschlüsse</t>
  </si>
  <si>
    <t xml:space="preserve">neue Programm-Kunden</t>
  </si>
  <si>
    <t xml:space="preserve">Anteil Recruiting-Abschlüsse</t>
  </si>
  <si>
    <t xml:space="preserve">neue Recruiting-Kunden</t>
  </si>
  <si>
    <t xml:space="preserve">Website-Abschlüsse mit SEO</t>
  </si>
  <si>
    <t xml:space="preserve">Website-Abschlüsse mit Ads</t>
  </si>
  <si>
    <t xml:space="preserve">Kündigung Pflege</t>
  </si>
  <si>
    <t xml:space="preserve">Kündigung SEO</t>
  </si>
  <si>
    <t xml:space="preserve">Aktive Ads-Kunden</t>
  </si>
  <si>
    <t xml:space="preserve">Kündigung Ads</t>
  </si>
  <si>
    <t xml:space="preserve">Kündigung Programm</t>
  </si>
  <si>
    <t xml:space="preserve">Kündigung Recruiting</t>
  </si>
  <si>
    <t xml:space="preserve">Abschlüsse je eingearbeitetem Closer</t>
  </si>
  <si>
    <t xml:space="preserve">Abschlüsse Gründer / Monat</t>
  </si>
  <si>
    <t xml:space="preserve">Fixkosten je Closer</t>
  </si>
  <si>
    <t xml:space="preserve">Fixkosten je Terminierer</t>
  </si>
  <si>
    <t xml:space="preserve">Jahresumsatz-Tempo (Umsatz × 12)</t>
  </si>
  <si>
    <t xml:space="preserve">Provision auf Umsatz</t>
  </si>
  <si>
    <t xml:space="preserve">Anteil Abschlüsse über Werbung</t>
  </si>
  <si>
    <t xml:space="preserve">Umsetzungsstunden</t>
  </si>
  <si>
    <t xml:space="preserve">Werbekosten je Abschluss</t>
  </si>
  <si>
    <t xml:space="preserve">Vollzeitstellen Umsetzung (140 h)</t>
  </si>
  <si>
    <t xml:space="preserve">Std. je Website</t>
  </si>
  <si>
    <t xml:space="preserve">Kosten Umsetzung</t>
  </si>
  <si>
    <t xml:space="preserve">Kosten Vertrieb</t>
  </si>
  <si>
    <t xml:space="preserve">Std. je Ads-Kunde / Monat</t>
  </si>
  <si>
    <t xml:space="preserve">Werbebudget</t>
  </si>
  <si>
    <t xml:space="preserve">Gemeinkosten</t>
  </si>
  <si>
    <t xml:space="preserve">Std. je Recruiting-Einrichtung</t>
  </si>
  <si>
    <t xml:space="preserve">Gründergehalt</t>
  </si>
  <si>
    <t xml:space="preserve">Kosten gesamt</t>
  </si>
  <si>
    <t xml:space="preserve">Mischsatz Umsetzung je Stunde</t>
  </si>
  <si>
    <t xml:space="preserve">Ergebnis vor Steuern</t>
  </si>
  <si>
    <t xml:space="preserve">Gemeinkosten erster Monat</t>
  </si>
  <si>
    <t xml:space="preserve">Gemeinkosten zwölfter Monat</t>
  </si>
  <si>
    <t xml:space="preserve">Gründergehalt / Monat</t>
  </si>
  <si>
    <t xml:space="preserve">Leistung neuer Closer im Monat 1</t>
  </si>
  <si>
    <t xml:space="preserve">Leistung neuer Closer im Monat 2</t>
  </si>
  <si>
    <t xml:space="preserve">Leistung neuer Closer im Monat 3</t>
  </si>
  <si>
    <t xml:space="preserve">Zielmonat 10.000 € MRR (aus Solo Basis)</t>
  </si>
  <si>
    <t xml:space="preserve">Startbestand Pflege</t>
  </si>
  <si>
    <t xml:space="preserve">Startbestand SEO</t>
  </si>
  <si>
    <t xml:space="preserve">Startbestand Programm</t>
  </si>
  <si>
    <t xml:space="preserve">Startbestand Recruiting</t>
  </si>
  <si>
    <t xml:space="preserve">Startbestand Ads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</si>
</sst>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General"/>
    <numFmt numFmtId="167" formatCode="#,##0.0;\(#,##0.0\);\-"/>
    <numFmt numFmtId="168" formatCode="@"/>
    <numFmt numFmtId="169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5C4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FE8DB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EFE8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A2E"/>
      <rgbColor rgb="FF5B6FC4"/>
      <rgbColor rgb="FF969696"/>
      <rgbColor rgb="FF0F5C4A"/>
      <rgbColor rgb="FF1A8A6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MRR im Solo-Plan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Übersicht!B22</c:f>
              <c:strCache>
                <c:ptCount val="1"/>
                <c:pt idx="0">
                  <c:v>Konservativ</c:v>
                </c:pt>
              </c:strCache>
            </c:strRef>
          </c:tx>
          <c:spPr>
            <a:solidFill>
              <a:srgbClr val="c26a2e"/>
            </a:solidFill>
            <a:ln w="28080">
              <a:solidFill>
                <a:srgbClr val="c26a2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Übersicht!$B$23:$B$46</c:f>
              <c:numCache>
                <c:formatCode>#,##0" €";\(#,##0" €)";\-</c:formatCode>
                <c:ptCount val="24"/>
                <c:pt idx="0">
                  <c:v>642.25</c:v>
                </c:pt>
                <c:pt idx="1">
                  <c:v>1264.6025</c:v>
                </c:pt>
                <c:pt idx="2">
                  <c:v>2510.038975</c:v>
                </c:pt>
                <c:pt idx="3">
                  <c:v>3717.11280525</c:v>
                </c:pt>
                <c:pt idx="4">
                  <c:v>4887.2271386975</c:v>
                </c:pt>
                <c:pt idx="5">
                  <c:v>6021.72664285352</c:v>
                </c:pt>
                <c:pt idx="6">
                  <c:v>7121.90015122444</c:v>
                </c:pt>
                <c:pt idx="7">
                  <c:v>8188.98318432282</c:v>
                </c:pt>
                <c:pt idx="8">
                  <c:v>9224.16035134969</c:v>
                </c:pt>
                <c:pt idx="9">
                  <c:v>10228.5676383406</c:v>
                </c:pt>
                <c:pt idx="10">
                  <c:v>11129.9270493462</c:v>
                </c:pt>
                <c:pt idx="11">
                  <c:v>11832.5639957902</c:v>
                </c:pt>
                <c:pt idx="12">
                  <c:v>12380.4035801057</c:v>
                </c:pt>
                <c:pt idx="13">
                  <c:v>12807.6645173033</c:v>
                </c:pt>
                <c:pt idx="14">
                  <c:v>13141.0037902537</c:v>
                </c:pt>
                <c:pt idx="15">
                  <c:v>13401.1874483208</c:v>
                </c:pt>
                <c:pt idx="16">
                  <c:v>13604.3922463585</c:v>
                </c:pt>
                <c:pt idx="17">
                  <c:v>13763.2196886593</c:v>
                </c:pt>
                <c:pt idx="18">
                  <c:v>13887.4860210425</c:v>
                </c:pt>
                <c:pt idx="19">
                  <c:v>13984.8376746304</c:v>
                </c:pt>
                <c:pt idx="20">
                  <c:v>14061.2307272286</c:v>
                </c:pt>
                <c:pt idx="21">
                  <c:v>14121.3044272267</c:v>
                </c:pt>
                <c:pt idx="22">
                  <c:v>14168.6721866133</c:v>
                </c:pt>
                <c:pt idx="23">
                  <c:v>14206.1482780985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Übersicht!C22</c:f>
              <c:strCache>
                <c:ptCount val="1"/>
                <c:pt idx="0">
                  <c:v>Basis</c:v>
                </c:pt>
              </c:strCache>
            </c:strRef>
          </c:tx>
          <c:spPr>
            <a:solidFill>
              <a:srgbClr val="1a8a68"/>
            </a:solidFill>
            <a:ln w="28080">
              <a:solidFill>
                <a:srgbClr val="1a8a6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Übersicht!$C$23:$C$46</c:f>
              <c:numCache>
                <c:formatCode>#,##0" €";\(#,##0" €)";\-</c:formatCode>
                <c:ptCount val="24"/>
                <c:pt idx="0">
                  <c:v>1284.5</c:v>
                </c:pt>
                <c:pt idx="1">
                  <c:v>2529.205</c:v>
                </c:pt>
                <c:pt idx="2">
                  <c:v>4377.82795</c:v>
                </c:pt>
                <c:pt idx="3">
                  <c:v>6169.6231105</c:v>
                </c:pt>
                <c:pt idx="4">
                  <c:v>7906.665302395</c:v>
                </c:pt>
                <c:pt idx="5">
                  <c:v>9319.86556658623</c:v>
                </c:pt>
                <c:pt idx="6">
                  <c:v>10421.2022100275</c:v>
                </c:pt>
                <c:pt idx="7">
                  <c:v>11279.6021392074</c:v>
                </c:pt>
                <c:pt idx="8">
                  <c:v>11948.7616333022</c:v>
                </c:pt>
                <c:pt idx="9">
                  <c:v>12470.5115683076</c:v>
                </c:pt>
                <c:pt idx="10">
                  <c:v>12877.4391039539</c:v>
                </c:pt>
                <c:pt idx="11">
                  <c:v>13194.9301153644</c:v>
                </c:pt>
                <c:pt idx="12">
                  <c:v>13442.760353913</c:v>
                </c:pt>
                <c:pt idx="13">
                  <c:v>13636.3350440418</c:v>
                </c:pt>
                <c:pt idx="14">
                  <c:v>13787.6545929445</c:v>
                </c:pt>
                <c:pt idx="15">
                  <c:v>13906.0669275967</c:v>
                </c:pt>
                <c:pt idx="16">
                  <c:v>13998.8536031501</c:v>
                </c:pt>
                <c:pt idx="17">
                  <c:v>14071.6864104103</c:v>
                </c:pt>
                <c:pt idx="18">
                  <c:v>14128.9830952569</c:v>
                </c:pt>
                <c:pt idx="19">
                  <c:v>14174.1844809519</c:v>
                </c:pt>
                <c:pt idx="20">
                  <c:v>14209.97035918</c:v>
                </c:pt>
                <c:pt idx="21">
                  <c:v>14238.4276787358</c:v>
                </c:pt>
                <c:pt idx="22">
                  <c:v>14261.1815716086</c:v>
                </c:pt>
                <c:pt idx="23">
                  <c:v>14279.4974274912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Übersicht!D22</c:f>
              <c:strCache>
                <c:ptCount val="1"/>
                <c:pt idx="0">
                  <c:v>Optimistisch</c:v>
                </c:pt>
              </c:strCache>
            </c:strRef>
          </c:tx>
          <c:spPr>
            <a:solidFill>
              <a:srgbClr val="5b6fc4"/>
            </a:solidFill>
            <a:ln w="28080">
              <a:solidFill>
                <a:srgbClr val="5b6f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Übersicht!$D$23:$D$46</c:f>
              <c:numCache>
                <c:formatCode>#,##0" €";\(#,##0" €)";\-</c:formatCode>
                <c:ptCount val="24"/>
                <c:pt idx="0">
                  <c:v>1926.75</c:v>
                </c:pt>
                <c:pt idx="1">
                  <c:v>3793.8075</c:v>
                </c:pt>
                <c:pt idx="2">
                  <c:v>6114.97189335443</c:v>
                </c:pt>
                <c:pt idx="3">
                  <c:v>7923.60977872068</c:v>
                </c:pt>
                <c:pt idx="4">
                  <c:v>9332.98721357495</c:v>
                </c:pt>
                <c:pt idx="5">
                  <c:v>10431.3428876664</c:v>
                </c:pt>
                <c:pt idx="6">
                  <c:v>11287.4179085399</c:v>
                </c:pt>
                <c:pt idx="7">
                  <c:v>11954.7637976303</c:v>
                </c:pt>
                <c:pt idx="8">
                  <c:v>12475.0986469673</c:v>
                </c:pt>
                <c:pt idx="9">
                  <c:v>12880.9217420578</c:v>
                </c:pt>
                <c:pt idx="10">
                  <c:v>13197.5504902625</c:v>
                </c:pt>
                <c:pt idx="11">
                  <c:v>13444.7072942842</c:v>
                </c:pt>
                <c:pt idx="12">
                  <c:v>13637.7558088735</c:v>
                </c:pt>
                <c:pt idx="13">
                  <c:v>13788.6640483705</c:v>
                </c:pt>
                <c:pt idx="14">
                  <c:v>13906.7546965088</c:v>
                </c:pt>
                <c:pt idx="15">
                  <c:v>13999.2896354759</c:v>
                </c:pt>
                <c:pt idx="16">
                  <c:v>14071.92532299</c:v>
                </c:pt>
                <c:pt idx="17">
                  <c:v>14129.0675531561</c:v>
                </c:pt>
                <c:pt idx="18">
                  <c:v>14174.1478319889</c:v>
                </c:pt>
                <c:pt idx="19">
                  <c:v>14209.8386866519</c:v>
                </c:pt>
                <c:pt idx="20">
                  <c:v>14238.2214008786</c:v>
                </c:pt>
                <c:pt idx="21">
                  <c:v>14260.9166879266</c:v>
                </c:pt>
                <c:pt idx="22">
                  <c:v>14279.1864899652</c:v>
                </c:pt>
                <c:pt idx="23">
                  <c:v>14294.0132834896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514765"/>
        <c:axId val="84961234"/>
      </c:lineChart>
      <c:catAx>
        <c:axId val="565147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961234"/>
        <c:crosses val="autoZero"/>
        <c:auto val="1"/>
        <c:lblAlgn val="ctr"/>
        <c:lblOffset val="100"/>
        <c:noMultiLvlLbl val="0"/>
      </c:catAx>
      <c:valAx>
        <c:axId val="849612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147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15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808308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'Solo Konservativ'!G15</f>
        <v>6021.72664285352</v>
      </c>
      <c r="C5" s="6" t="n">
        <f aca="false">'Solo Basis'!G15</f>
        <v>9319.86556658623</v>
      </c>
      <c r="D5" s="6" t="n">
        <f aca="false">'Solo Optimistisch'!G15</f>
        <v>10431.3428876664</v>
      </c>
    </row>
    <row r="6" customFormat="false" ht="15" hidden="false" customHeight="false" outlineLevel="0" collapsed="false">
      <c r="A6" s="5" t="s">
        <v>7</v>
      </c>
      <c r="B6" s="6" t="n">
        <f aca="false">'Solo Konservativ'!M15</f>
        <v>11832.5639957902</v>
      </c>
      <c r="C6" s="6" t="n">
        <f aca="false">'Solo Basis'!M15</f>
        <v>13194.9301153644</v>
      </c>
      <c r="D6" s="6" t="n">
        <f aca="false">'Solo Optimistisch'!M15</f>
        <v>13444.7072942842</v>
      </c>
    </row>
    <row r="7" customFormat="false" ht="15" hidden="false" customHeight="false" outlineLevel="0" collapsed="false">
      <c r="A7" s="5" t="s">
        <v>8</v>
      </c>
      <c r="B7" s="6" t="n">
        <f aca="false">'Solo Konservativ'!Y15</f>
        <v>14206.1482780985</v>
      </c>
      <c r="C7" s="6" t="n">
        <f aca="false">'Solo Basis'!Y15</f>
        <v>14279.4974274912</v>
      </c>
      <c r="D7" s="6" t="n">
        <f aca="false">'Solo Optimistisch'!Y15</f>
        <v>14294.0132834896</v>
      </c>
    </row>
    <row r="8" customFormat="false" ht="15" hidden="false" customHeight="false" outlineLevel="0" collapsed="false">
      <c r="A8" s="7" t="s">
        <v>9</v>
      </c>
      <c r="B8" s="8" t="n">
        <f aca="false">IF(MAX('Solo Konservativ'!B15:Y15)&gt;=10000,COUNTIF('Solo Konservativ'!B15:Y15,"&lt;10000")+1,"nicht in 24 Monaten")</f>
        <v>10</v>
      </c>
      <c r="C8" s="8" t="n">
        <f aca="false">IF(MAX('Solo Basis'!B15:Y15)&gt;=10000,COUNTIF('Solo Basis'!B15:Y15,"&lt;10000")+1,"nicht in 24 Monaten")</f>
        <v>7</v>
      </c>
      <c r="D8" s="8" t="n">
        <f aca="false">IF(MAX('Solo Optimistisch'!B15:Y15)&gt;=10000,COUNTIF('Solo Optimistisch'!B15:Y15,"&lt;10000")+1,"nicht in 24 Monaten")</f>
        <v>6</v>
      </c>
    </row>
    <row r="9" customFormat="false" ht="15" hidden="false" customHeight="false" outlineLevel="0" collapsed="false">
      <c r="A9" s="5" t="s">
        <v>10</v>
      </c>
      <c r="B9" s="6" t="n">
        <f aca="false">SUM('Solo Konservativ'!B19:M19)</f>
        <v>92345.7256945156</v>
      </c>
      <c r="C9" s="6" t="n">
        <f aca="false">SUM('Solo Basis'!B19:M19)</f>
        <v>122428.136409397</v>
      </c>
      <c r="D9" s="6" t="n">
        <f aca="false">SUM('Solo Optimistisch'!B19:M19)</f>
        <v>134233.440772501</v>
      </c>
    </row>
    <row r="10" customFormat="false" ht="15" hidden="false" customHeight="false" outlineLevel="0" collapsed="false">
      <c r="A10" s="5" t="s">
        <v>11</v>
      </c>
      <c r="B10" s="9" t="n">
        <f aca="false">SUM('Solo Konservativ'!B8:M8)</f>
        <v>21.503160175979</v>
      </c>
      <c r="C10" s="9" t="n">
        <f aca="false">SUM('Solo Basis'!B8:M8)</f>
        <v>24.8325232626047</v>
      </c>
      <c r="D10" s="9" t="n">
        <f aca="false">SUM('Solo Optimistisch'!B8:M8)</f>
        <v>25.7230478259544</v>
      </c>
    </row>
    <row r="11" customFormat="false" ht="15" hidden="false" customHeight="false" outlineLevel="0" collapsed="false">
      <c r="A11" s="5" t="s">
        <v>12</v>
      </c>
      <c r="B11" s="9" t="n">
        <f aca="false">'Solo Konservativ'!M21</f>
        <v>170</v>
      </c>
      <c r="C11" s="9" t="n">
        <f aca="false">'Solo Basis'!M21</f>
        <v>170</v>
      </c>
      <c r="D11" s="9" t="n">
        <f aca="false">'Solo Optimistisch'!M21</f>
        <v>170</v>
      </c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4" t="s">
        <v>13</v>
      </c>
      <c r="B13" s="4" t="s">
        <v>14</v>
      </c>
      <c r="C13" s="2"/>
      <c r="D13" s="2"/>
    </row>
    <row r="14" customFormat="false" ht="15" hidden="false" customHeight="false" outlineLevel="0" collapsed="false">
      <c r="A14" s="5" t="s">
        <v>15</v>
      </c>
      <c r="B14" s="10" t="str">
        <f aca="false">"Jun 27"</f>
        <v>Jun 27</v>
      </c>
      <c r="C14" s="2"/>
      <c r="D14" s="2"/>
    </row>
    <row r="15" customFormat="false" ht="15" hidden="false" customHeight="false" outlineLevel="0" collapsed="false">
      <c r="A15" s="5" t="s">
        <v>16</v>
      </c>
      <c r="B15" s="6" t="n">
        <f aca="false">'Ausbau ab 10k'!Q25</f>
        <v>758796.101441064</v>
      </c>
      <c r="C15" s="2"/>
      <c r="D15" s="2"/>
    </row>
    <row r="16" customFormat="false" ht="15" hidden="false" customHeight="false" outlineLevel="0" collapsed="false">
      <c r="A16" s="5" t="s">
        <v>17</v>
      </c>
      <c r="B16" s="6" t="n">
        <f aca="false">'Ausbau ab 10k'!Q37</f>
        <v>21738.6761507113</v>
      </c>
      <c r="C16" s="2"/>
      <c r="D16" s="2"/>
    </row>
    <row r="17" customFormat="false" ht="15" hidden="false" customHeight="false" outlineLevel="0" collapsed="false">
      <c r="A17" s="5" t="s">
        <v>18</v>
      </c>
      <c r="B17" s="6" t="n">
        <f aca="false">'Ausbau ab 10k'!P23</f>
        <v>95934.4049121918</v>
      </c>
      <c r="C17" s="2"/>
      <c r="D17" s="2"/>
    </row>
    <row r="18" customFormat="false" ht="15" hidden="false" customHeight="false" outlineLevel="0" collapsed="false">
      <c r="A18" s="5" t="s">
        <v>19</v>
      </c>
      <c r="B18" s="6" t="n">
        <f aca="false">MIN(0,MIN('Ausbau ab 10k'!E38:P38))</f>
        <v>-17312.1058671845</v>
      </c>
      <c r="C18" s="2"/>
      <c r="D18" s="2"/>
    </row>
    <row r="19" customFormat="false" ht="15" hidden="false" customHeight="false" outlineLevel="0" collapsed="false">
      <c r="A19" s="5" t="s">
        <v>20</v>
      </c>
      <c r="B19" s="6" t="n">
        <f aca="false">'Ausbau ab 10k'!P26</f>
        <v>1674931.8589463</v>
      </c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7" t="s">
        <v>21</v>
      </c>
      <c r="B22" s="7" t="s">
        <v>3</v>
      </c>
      <c r="C22" s="7" t="s">
        <v>4</v>
      </c>
      <c r="D22" s="7" t="s">
        <v>5</v>
      </c>
    </row>
    <row r="23" customFormat="false" ht="15" hidden="false" customHeight="false" outlineLevel="0" collapsed="false">
      <c r="A23" s="5" t="s">
        <v>22</v>
      </c>
      <c r="B23" s="6" t="n">
        <f aca="false">'Solo Konservativ'!B15</f>
        <v>642.25</v>
      </c>
      <c r="C23" s="6" t="n">
        <f aca="false">'Solo Basis'!B15</f>
        <v>1284.5</v>
      </c>
      <c r="D23" s="6" t="n">
        <f aca="false">'Solo Optimistisch'!B15</f>
        <v>1926.75</v>
      </c>
    </row>
    <row r="24" customFormat="false" ht="15" hidden="false" customHeight="false" outlineLevel="0" collapsed="false">
      <c r="A24" s="5" t="s">
        <v>23</v>
      </c>
      <c r="B24" s="6" t="n">
        <f aca="false">'Solo Konservativ'!C15</f>
        <v>1264.6025</v>
      </c>
      <c r="C24" s="6" t="n">
        <f aca="false">'Solo Basis'!C15</f>
        <v>2529.205</v>
      </c>
      <c r="D24" s="6" t="n">
        <f aca="false">'Solo Optimistisch'!C15</f>
        <v>3793.8075</v>
      </c>
    </row>
    <row r="25" customFormat="false" ht="15" hidden="false" customHeight="false" outlineLevel="0" collapsed="false">
      <c r="A25" s="5" t="s">
        <v>24</v>
      </c>
      <c r="B25" s="6" t="n">
        <f aca="false">'Solo Konservativ'!D15</f>
        <v>2510.038975</v>
      </c>
      <c r="C25" s="6" t="n">
        <f aca="false">'Solo Basis'!D15</f>
        <v>4377.82795</v>
      </c>
      <c r="D25" s="6" t="n">
        <f aca="false">'Solo Optimistisch'!D15</f>
        <v>6114.97189335443</v>
      </c>
    </row>
    <row r="26" customFormat="false" ht="15" hidden="false" customHeight="false" outlineLevel="0" collapsed="false">
      <c r="A26" s="5" t="s">
        <v>25</v>
      </c>
      <c r="B26" s="6" t="n">
        <f aca="false">'Solo Konservativ'!E15</f>
        <v>3717.11280525</v>
      </c>
      <c r="C26" s="6" t="n">
        <f aca="false">'Solo Basis'!E15</f>
        <v>6169.6231105</v>
      </c>
      <c r="D26" s="6" t="n">
        <f aca="false">'Solo Optimistisch'!E15</f>
        <v>7923.60977872068</v>
      </c>
    </row>
    <row r="27" customFormat="false" ht="15" hidden="false" customHeight="false" outlineLevel="0" collapsed="false">
      <c r="A27" s="5" t="s">
        <v>26</v>
      </c>
      <c r="B27" s="6" t="n">
        <f aca="false">'Solo Konservativ'!F15</f>
        <v>4887.2271386975</v>
      </c>
      <c r="C27" s="6" t="n">
        <f aca="false">'Solo Basis'!F15</f>
        <v>7906.665302395</v>
      </c>
      <c r="D27" s="6" t="n">
        <f aca="false">'Solo Optimistisch'!F15</f>
        <v>9332.98721357495</v>
      </c>
    </row>
    <row r="28" customFormat="false" ht="15" hidden="false" customHeight="false" outlineLevel="0" collapsed="false">
      <c r="A28" s="5" t="s">
        <v>27</v>
      </c>
      <c r="B28" s="6" t="n">
        <f aca="false">'Solo Konservativ'!G15</f>
        <v>6021.72664285352</v>
      </c>
      <c r="C28" s="6" t="n">
        <f aca="false">'Solo Basis'!G15</f>
        <v>9319.86556658623</v>
      </c>
      <c r="D28" s="6" t="n">
        <f aca="false">'Solo Optimistisch'!G15</f>
        <v>10431.3428876664</v>
      </c>
    </row>
    <row r="29" customFormat="false" ht="15" hidden="false" customHeight="false" outlineLevel="0" collapsed="false">
      <c r="A29" s="5" t="s">
        <v>28</v>
      </c>
      <c r="B29" s="6" t="n">
        <f aca="false">'Solo Konservativ'!H15</f>
        <v>7121.90015122444</v>
      </c>
      <c r="C29" s="6" t="n">
        <f aca="false">'Solo Basis'!H15</f>
        <v>10421.2022100275</v>
      </c>
      <c r="D29" s="6" t="n">
        <f aca="false">'Solo Optimistisch'!H15</f>
        <v>11287.4179085399</v>
      </c>
    </row>
    <row r="30" customFormat="false" ht="15" hidden="false" customHeight="false" outlineLevel="0" collapsed="false">
      <c r="A30" s="5" t="s">
        <v>29</v>
      </c>
      <c r="B30" s="6" t="n">
        <f aca="false">'Solo Konservativ'!I15</f>
        <v>8188.98318432282</v>
      </c>
      <c r="C30" s="6" t="n">
        <f aca="false">'Solo Basis'!I15</f>
        <v>11279.6021392074</v>
      </c>
      <c r="D30" s="6" t="n">
        <f aca="false">'Solo Optimistisch'!I15</f>
        <v>11954.7637976303</v>
      </c>
    </row>
    <row r="31" customFormat="false" ht="15" hidden="false" customHeight="false" outlineLevel="0" collapsed="false">
      <c r="A31" s="5" t="s">
        <v>30</v>
      </c>
      <c r="B31" s="6" t="n">
        <f aca="false">'Solo Konservativ'!J15</f>
        <v>9224.16035134969</v>
      </c>
      <c r="C31" s="6" t="n">
        <f aca="false">'Solo Basis'!J15</f>
        <v>11948.7616333022</v>
      </c>
      <c r="D31" s="6" t="n">
        <f aca="false">'Solo Optimistisch'!J15</f>
        <v>12475.0986469673</v>
      </c>
    </row>
    <row r="32" customFormat="false" ht="15" hidden="false" customHeight="false" outlineLevel="0" collapsed="false">
      <c r="A32" s="5" t="s">
        <v>31</v>
      </c>
      <c r="B32" s="6" t="n">
        <f aca="false">'Solo Konservativ'!K15</f>
        <v>10228.5676383406</v>
      </c>
      <c r="C32" s="6" t="n">
        <f aca="false">'Solo Basis'!K15</f>
        <v>12470.5115683076</v>
      </c>
      <c r="D32" s="6" t="n">
        <f aca="false">'Solo Optimistisch'!K15</f>
        <v>12880.9217420578</v>
      </c>
    </row>
    <row r="33" customFormat="false" ht="15" hidden="false" customHeight="false" outlineLevel="0" collapsed="false">
      <c r="A33" s="5" t="s">
        <v>32</v>
      </c>
      <c r="B33" s="6" t="n">
        <f aca="false">'Solo Konservativ'!L15</f>
        <v>11129.9270493462</v>
      </c>
      <c r="C33" s="6" t="n">
        <f aca="false">'Solo Basis'!L15</f>
        <v>12877.4391039539</v>
      </c>
      <c r="D33" s="6" t="n">
        <f aca="false">'Solo Optimistisch'!L15</f>
        <v>13197.5504902625</v>
      </c>
    </row>
    <row r="34" customFormat="false" ht="15" hidden="false" customHeight="false" outlineLevel="0" collapsed="false">
      <c r="A34" s="5" t="s">
        <v>33</v>
      </c>
      <c r="B34" s="6" t="n">
        <f aca="false">'Solo Konservativ'!M15</f>
        <v>11832.5639957902</v>
      </c>
      <c r="C34" s="6" t="n">
        <f aca="false">'Solo Basis'!M15</f>
        <v>13194.9301153644</v>
      </c>
      <c r="D34" s="6" t="n">
        <f aca="false">'Solo Optimistisch'!M15</f>
        <v>13444.7072942842</v>
      </c>
    </row>
    <row r="35" customFormat="false" ht="15" hidden="false" customHeight="false" outlineLevel="0" collapsed="false">
      <c r="A35" s="5" t="s">
        <v>34</v>
      </c>
      <c r="B35" s="6" t="n">
        <f aca="false">'Solo Konservativ'!N15</f>
        <v>12380.4035801057</v>
      </c>
      <c r="C35" s="6" t="n">
        <f aca="false">'Solo Basis'!N15</f>
        <v>13442.760353913</v>
      </c>
      <c r="D35" s="6" t="n">
        <f aca="false">'Solo Optimistisch'!N15</f>
        <v>13637.7558088735</v>
      </c>
    </row>
    <row r="36" customFormat="false" ht="15" hidden="false" customHeight="false" outlineLevel="0" collapsed="false">
      <c r="A36" s="5" t="s">
        <v>35</v>
      </c>
      <c r="B36" s="6" t="n">
        <f aca="false">'Solo Konservativ'!O15</f>
        <v>12807.6645173033</v>
      </c>
      <c r="C36" s="6" t="n">
        <f aca="false">'Solo Basis'!O15</f>
        <v>13636.3350440418</v>
      </c>
      <c r="D36" s="6" t="n">
        <f aca="false">'Solo Optimistisch'!O15</f>
        <v>13788.6640483705</v>
      </c>
    </row>
    <row r="37" customFormat="false" ht="15" hidden="false" customHeight="false" outlineLevel="0" collapsed="false">
      <c r="A37" s="5" t="s">
        <v>36</v>
      </c>
      <c r="B37" s="6" t="n">
        <f aca="false">'Solo Konservativ'!P15</f>
        <v>13141.0037902537</v>
      </c>
      <c r="C37" s="6" t="n">
        <f aca="false">'Solo Basis'!P15</f>
        <v>13787.6545929445</v>
      </c>
      <c r="D37" s="6" t="n">
        <f aca="false">'Solo Optimistisch'!P15</f>
        <v>13906.7546965088</v>
      </c>
    </row>
    <row r="38" customFormat="false" ht="15" hidden="false" customHeight="false" outlineLevel="0" collapsed="false">
      <c r="A38" s="5" t="s">
        <v>37</v>
      </c>
      <c r="B38" s="6" t="n">
        <f aca="false">'Solo Konservativ'!Q15</f>
        <v>13401.1874483208</v>
      </c>
      <c r="C38" s="6" t="n">
        <f aca="false">'Solo Basis'!Q15</f>
        <v>13906.0669275967</v>
      </c>
      <c r="D38" s="6" t="n">
        <f aca="false">'Solo Optimistisch'!Q15</f>
        <v>13999.2896354759</v>
      </c>
    </row>
    <row r="39" customFormat="false" ht="15" hidden="false" customHeight="false" outlineLevel="0" collapsed="false">
      <c r="A39" s="5" t="s">
        <v>38</v>
      </c>
      <c r="B39" s="6" t="n">
        <f aca="false">'Solo Konservativ'!R15</f>
        <v>13604.3922463585</v>
      </c>
      <c r="C39" s="6" t="n">
        <f aca="false">'Solo Basis'!R15</f>
        <v>13998.8536031501</v>
      </c>
      <c r="D39" s="6" t="n">
        <f aca="false">'Solo Optimistisch'!R15</f>
        <v>14071.92532299</v>
      </c>
    </row>
    <row r="40" customFormat="false" ht="15" hidden="false" customHeight="false" outlineLevel="0" collapsed="false">
      <c r="A40" s="5" t="s">
        <v>39</v>
      </c>
      <c r="B40" s="6" t="n">
        <f aca="false">'Solo Konservativ'!S15</f>
        <v>13763.2196886593</v>
      </c>
      <c r="C40" s="6" t="n">
        <f aca="false">'Solo Basis'!S15</f>
        <v>14071.6864104103</v>
      </c>
      <c r="D40" s="6" t="n">
        <f aca="false">'Solo Optimistisch'!S15</f>
        <v>14129.0675531561</v>
      </c>
    </row>
    <row r="41" customFormat="false" ht="15" hidden="false" customHeight="false" outlineLevel="0" collapsed="false">
      <c r="A41" s="5" t="s">
        <v>40</v>
      </c>
      <c r="B41" s="6" t="n">
        <f aca="false">'Solo Konservativ'!T15</f>
        <v>13887.4860210425</v>
      </c>
      <c r="C41" s="6" t="n">
        <f aca="false">'Solo Basis'!T15</f>
        <v>14128.9830952569</v>
      </c>
      <c r="D41" s="6" t="n">
        <f aca="false">'Solo Optimistisch'!T15</f>
        <v>14174.1478319889</v>
      </c>
    </row>
    <row r="42" customFormat="false" ht="15" hidden="false" customHeight="false" outlineLevel="0" collapsed="false">
      <c r="A42" s="5" t="s">
        <v>41</v>
      </c>
      <c r="B42" s="6" t="n">
        <f aca="false">'Solo Konservativ'!U15</f>
        <v>13984.8376746304</v>
      </c>
      <c r="C42" s="6" t="n">
        <f aca="false">'Solo Basis'!U15</f>
        <v>14174.1844809519</v>
      </c>
      <c r="D42" s="6" t="n">
        <f aca="false">'Solo Optimistisch'!U15</f>
        <v>14209.8386866519</v>
      </c>
    </row>
    <row r="43" customFormat="false" ht="15" hidden="false" customHeight="false" outlineLevel="0" collapsed="false">
      <c r="A43" s="5" t="s">
        <v>42</v>
      </c>
      <c r="B43" s="6" t="n">
        <f aca="false">'Solo Konservativ'!V15</f>
        <v>14061.2307272286</v>
      </c>
      <c r="C43" s="6" t="n">
        <f aca="false">'Solo Basis'!V15</f>
        <v>14209.97035918</v>
      </c>
      <c r="D43" s="6" t="n">
        <f aca="false">'Solo Optimistisch'!V15</f>
        <v>14238.2214008786</v>
      </c>
    </row>
    <row r="44" customFormat="false" ht="15" hidden="false" customHeight="false" outlineLevel="0" collapsed="false">
      <c r="A44" s="5" t="s">
        <v>43</v>
      </c>
      <c r="B44" s="6" t="n">
        <f aca="false">'Solo Konservativ'!W15</f>
        <v>14121.3044272267</v>
      </c>
      <c r="C44" s="6" t="n">
        <f aca="false">'Solo Basis'!W15</f>
        <v>14238.4276787358</v>
      </c>
      <c r="D44" s="6" t="n">
        <f aca="false">'Solo Optimistisch'!W15</f>
        <v>14260.9166879266</v>
      </c>
    </row>
    <row r="45" customFormat="false" ht="15" hidden="false" customHeight="false" outlineLevel="0" collapsed="false">
      <c r="A45" s="5" t="s">
        <v>44</v>
      </c>
      <c r="B45" s="6" t="n">
        <f aca="false">'Solo Konservativ'!X15</f>
        <v>14168.6721866133</v>
      </c>
      <c r="C45" s="6" t="n">
        <f aca="false">'Solo Basis'!X15</f>
        <v>14261.1815716086</v>
      </c>
      <c r="D45" s="6" t="n">
        <f aca="false">'Solo Optimistisch'!X15</f>
        <v>14279.1864899652</v>
      </c>
    </row>
    <row r="46" customFormat="false" ht="15" hidden="false" customHeight="false" outlineLevel="0" collapsed="false">
      <c r="A46" s="5" t="s">
        <v>45</v>
      </c>
      <c r="B46" s="6" t="n">
        <f aca="false">'Solo Konservativ'!Y15</f>
        <v>14206.1482780985</v>
      </c>
      <c r="C46" s="6" t="n">
        <f aca="false">'Solo Basis'!Y15</f>
        <v>14279.4974274912</v>
      </c>
      <c r="D46" s="6" t="n">
        <f aca="false">'Solo Optimistisch'!Y15</f>
        <v>14294.0132834896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 t="s">
        <v>48</v>
      </c>
      <c r="B3" s="11" t="n">
        <v>10</v>
      </c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4" t="s">
        <v>49</v>
      </c>
      <c r="B5" s="4" t="s">
        <v>50</v>
      </c>
      <c r="C5" s="4" t="s">
        <v>51</v>
      </c>
      <c r="D5" s="4" t="s">
        <v>52</v>
      </c>
      <c r="E5" s="4" t="s">
        <v>53</v>
      </c>
      <c r="F5" s="4" t="s">
        <v>54</v>
      </c>
      <c r="G5" s="4" t="s">
        <v>55</v>
      </c>
      <c r="H5" s="4" t="s">
        <v>56</v>
      </c>
      <c r="I5" s="4" t="s">
        <v>57</v>
      </c>
    </row>
    <row r="6" customFormat="false" ht="15" hidden="false" customHeight="false" outlineLevel="0" collapsed="false">
      <c r="A6" s="5" t="s">
        <v>58</v>
      </c>
      <c r="B6" s="12" t="n">
        <v>1490</v>
      </c>
      <c r="C6" s="12" t="n">
        <v>0</v>
      </c>
      <c r="D6" s="13" t="n">
        <v>16</v>
      </c>
      <c r="E6" s="13" t="n">
        <v>0</v>
      </c>
      <c r="F6" s="14" t="n">
        <f aca="false">B6+12*C6</f>
        <v>1490</v>
      </c>
      <c r="G6" s="15" t="n">
        <f aca="false">D6+12*E6+$B$3</f>
        <v>26</v>
      </c>
      <c r="H6" s="16" t="n">
        <f aca="false">IF(G6&gt;0,F6/G6,0)</f>
        <v>57.3076923076923</v>
      </c>
      <c r="I6" s="5" t="s">
        <v>59</v>
      </c>
    </row>
    <row r="7" customFormat="false" ht="15" hidden="false" customHeight="false" outlineLevel="0" collapsed="false">
      <c r="A7" s="5" t="s">
        <v>60</v>
      </c>
      <c r="B7" s="12" t="n">
        <v>2990</v>
      </c>
      <c r="C7" s="12" t="n">
        <v>0</v>
      </c>
      <c r="D7" s="13" t="n">
        <v>28</v>
      </c>
      <c r="E7" s="13" t="n">
        <v>0</v>
      </c>
      <c r="F7" s="14" t="n">
        <f aca="false">B7+12*C7</f>
        <v>2990</v>
      </c>
      <c r="G7" s="15" t="n">
        <f aca="false">D7+12*E7+$B$3</f>
        <v>38</v>
      </c>
      <c r="H7" s="16" t="n">
        <f aca="false">IF(G7&gt;0,F7/G7,0)</f>
        <v>78.6842105263158</v>
      </c>
      <c r="I7" s="5" t="s">
        <v>61</v>
      </c>
    </row>
    <row r="8" customFormat="false" ht="15" hidden="false" customHeight="false" outlineLevel="0" collapsed="false">
      <c r="A8" s="5" t="s">
        <v>62</v>
      </c>
      <c r="B8" s="12" t="n">
        <v>0</v>
      </c>
      <c r="C8" s="12" t="n">
        <v>49</v>
      </c>
      <c r="D8" s="13" t="n">
        <v>0</v>
      </c>
      <c r="E8" s="13" t="n">
        <v>0.25</v>
      </c>
      <c r="F8" s="14" t="n">
        <f aca="false">B8+12*C8</f>
        <v>588</v>
      </c>
      <c r="G8" s="15" t="n">
        <f aca="false">D8+12*E8+0</f>
        <v>3</v>
      </c>
      <c r="H8" s="16" t="n">
        <f aca="false">IF(G8&gt;0,F8/G8,0)</f>
        <v>196</v>
      </c>
      <c r="I8" s="5" t="s">
        <v>63</v>
      </c>
    </row>
    <row r="9" customFormat="false" ht="15" hidden="false" customHeight="false" outlineLevel="0" collapsed="false">
      <c r="A9" s="5" t="s">
        <v>64</v>
      </c>
      <c r="B9" s="12" t="n">
        <v>0</v>
      </c>
      <c r="C9" s="12" t="n">
        <v>89</v>
      </c>
      <c r="D9" s="13" t="n">
        <v>0</v>
      </c>
      <c r="E9" s="13" t="n">
        <v>0.5</v>
      </c>
      <c r="F9" s="14" t="n">
        <f aca="false">B9+12*C9</f>
        <v>1068</v>
      </c>
      <c r="G9" s="15" t="n">
        <f aca="false">D9+12*E9+0</f>
        <v>6</v>
      </c>
      <c r="H9" s="16" t="n">
        <f aca="false">IF(G9&gt;0,F9/G9,0)</f>
        <v>178</v>
      </c>
      <c r="I9" s="5" t="s">
        <v>65</v>
      </c>
    </row>
    <row r="10" customFormat="false" ht="15" hidden="false" customHeight="false" outlineLevel="0" collapsed="false">
      <c r="A10" s="5" t="s">
        <v>66</v>
      </c>
      <c r="B10" s="12" t="n">
        <v>0</v>
      </c>
      <c r="C10" s="12" t="n">
        <v>390</v>
      </c>
      <c r="D10" s="13" t="n">
        <v>4</v>
      </c>
      <c r="E10" s="13" t="n">
        <v>5</v>
      </c>
      <c r="F10" s="14" t="n">
        <f aca="false">B10+12*C10</f>
        <v>4680</v>
      </c>
      <c r="G10" s="15" t="n">
        <f aca="false">D10+12*E10+$B$3</f>
        <v>74</v>
      </c>
      <c r="H10" s="16" t="n">
        <f aca="false">IF(G10&gt;0,F10/G10,0)</f>
        <v>63.2432432432432</v>
      </c>
      <c r="I10" s="5" t="s">
        <v>67</v>
      </c>
    </row>
    <row r="11" customFormat="false" ht="15" hidden="false" customHeight="false" outlineLevel="0" collapsed="false">
      <c r="A11" s="5" t="s">
        <v>68</v>
      </c>
      <c r="B11" s="12" t="n">
        <v>0</v>
      </c>
      <c r="C11" s="12" t="n">
        <v>690</v>
      </c>
      <c r="D11" s="13" t="n">
        <v>6</v>
      </c>
      <c r="E11" s="13" t="n">
        <v>8</v>
      </c>
      <c r="F11" s="14" t="n">
        <f aca="false">B11+12*C11</f>
        <v>8280</v>
      </c>
      <c r="G11" s="15" t="n">
        <f aca="false">D11+12*E11+$B$3</f>
        <v>112</v>
      </c>
      <c r="H11" s="16" t="n">
        <f aca="false">IF(G11&gt;0,F11/G11,0)</f>
        <v>73.9285714285714</v>
      </c>
      <c r="I11" s="5" t="s">
        <v>67</v>
      </c>
    </row>
    <row r="12" customFormat="false" ht="15" hidden="false" customHeight="false" outlineLevel="0" collapsed="false">
      <c r="A12" s="5" t="s">
        <v>69</v>
      </c>
      <c r="B12" s="12" t="n">
        <v>390</v>
      </c>
      <c r="C12" s="12" t="n">
        <v>290</v>
      </c>
      <c r="D12" s="13" t="n">
        <v>4</v>
      </c>
      <c r="E12" s="13" t="n">
        <v>2.5</v>
      </c>
      <c r="F12" s="14" t="n">
        <f aca="false">B12+12*C12</f>
        <v>3870</v>
      </c>
      <c r="G12" s="15" t="n">
        <f aca="false">D12+12*E12+$B$3</f>
        <v>44</v>
      </c>
      <c r="H12" s="16" t="n">
        <f aca="false">IF(G12&gt;0,F12/G12,0)</f>
        <v>87.9545454545455</v>
      </c>
      <c r="I12" s="5" t="s">
        <v>70</v>
      </c>
    </row>
    <row r="13" customFormat="false" ht="15" hidden="false" customHeight="false" outlineLevel="0" collapsed="false">
      <c r="A13" s="5" t="s">
        <v>71</v>
      </c>
      <c r="B13" s="12" t="n">
        <v>1490</v>
      </c>
      <c r="C13" s="12" t="n">
        <v>790</v>
      </c>
      <c r="D13" s="13" t="n">
        <v>10</v>
      </c>
      <c r="E13" s="13" t="n">
        <v>7</v>
      </c>
      <c r="F13" s="14" t="n">
        <f aca="false">B13+12*C13</f>
        <v>10970</v>
      </c>
      <c r="G13" s="15" t="n">
        <f aca="false">D13+12*E13+$B$3</f>
        <v>104</v>
      </c>
      <c r="H13" s="16" t="n">
        <f aca="false">IF(G13&gt;0,F13/G13,0)</f>
        <v>105.480769230769</v>
      </c>
      <c r="I13" s="5" t="s">
        <v>72</v>
      </c>
    </row>
    <row r="14" customFormat="false" ht="15" hidden="false" customHeight="false" outlineLevel="0" collapsed="false">
      <c r="A14" s="5" t="s">
        <v>73</v>
      </c>
      <c r="B14" s="12" t="n">
        <v>0</v>
      </c>
      <c r="C14" s="12" t="n">
        <v>1190</v>
      </c>
      <c r="D14" s="13" t="n">
        <v>28</v>
      </c>
      <c r="E14" s="13" t="n">
        <v>13</v>
      </c>
      <c r="F14" s="14" t="n">
        <f aca="false">B14+12*C14</f>
        <v>14280</v>
      </c>
      <c r="G14" s="15" t="n">
        <f aca="false">D14+12*E14+$B$3</f>
        <v>194</v>
      </c>
      <c r="H14" s="16" t="n">
        <f aca="false">IF(G14&gt;0,F14/G14,0)</f>
        <v>73.6082474226804</v>
      </c>
      <c r="I14" s="5" t="s">
        <v>74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3" t="s">
        <v>75</v>
      </c>
      <c r="B16" s="2"/>
      <c r="C16" s="2"/>
      <c r="D16" s="2"/>
      <c r="E16" s="2"/>
      <c r="F16" s="2"/>
      <c r="G16" s="2"/>
      <c r="H16" s="2"/>
      <c r="I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</row>
    <row r="2" customFormat="false" ht="15" hidden="false" customHeight="false" outlineLevel="0" collapsed="false">
      <c r="A2" s="3" t="s">
        <v>77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78</v>
      </c>
      <c r="B4" s="4" t="s">
        <v>14</v>
      </c>
      <c r="C4" s="2"/>
      <c r="D4" s="2"/>
    </row>
    <row r="5" customFormat="false" ht="15" hidden="false" customHeight="false" outlineLevel="0" collapsed="false">
      <c r="A5" s="5" t="s">
        <v>79</v>
      </c>
      <c r="B5" s="12" t="n">
        <v>2200</v>
      </c>
      <c r="C5" s="2"/>
      <c r="D5" s="2"/>
    </row>
    <row r="6" customFormat="false" ht="15" hidden="false" customHeight="false" outlineLevel="0" collapsed="false">
      <c r="A6" s="5" t="s">
        <v>80</v>
      </c>
      <c r="B6" s="12" t="n">
        <v>69</v>
      </c>
      <c r="C6" s="2"/>
      <c r="D6" s="2"/>
    </row>
    <row r="7" customFormat="false" ht="15" hidden="false" customHeight="false" outlineLevel="0" collapsed="false">
      <c r="A7" s="5" t="s">
        <v>81</v>
      </c>
      <c r="B7" s="12" t="n">
        <v>1190</v>
      </c>
      <c r="C7" s="2"/>
      <c r="D7" s="2"/>
    </row>
    <row r="8" customFormat="false" ht="15" hidden="false" customHeight="false" outlineLevel="0" collapsed="false">
      <c r="A8" s="5" t="s">
        <v>82</v>
      </c>
      <c r="B8" s="12" t="n">
        <v>520</v>
      </c>
      <c r="C8" s="2"/>
      <c r="D8" s="2"/>
    </row>
    <row r="9" customFormat="false" ht="15" hidden="false" customHeight="false" outlineLevel="0" collapsed="false">
      <c r="A9" s="5" t="s">
        <v>83</v>
      </c>
      <c r="B9" s="12" t="n">
        <v>790</v>
      </c>
      <c r="C9" s="2"/>
      <c r="D9" s="2"/>
    </row>
    <row r="10" customFormat="false" ht="15" hidden="false" customHeight="false" outlineLevel="0" collapsed="false">
      <c r="A10" s="5" t="s">
        <v>84</v>
      </c>
      <c r="B10" s="12" t="n">
        <v>1490</v>
      </c>
      <c r="C10" s="2"/>
      <c r="D10" s="2"/>
    </row>
    <row r="11" customFormat="false" ht="15" hidden="false" customHeight="false" outlineLevel="0" collapsed="false">
      <c r="A11" s="5" t="s">
        <v>85</v>
      </c>
      <c r="B11" s="17" t="n">
        <v>0.25</v>
      </c>
      <c r="C11" s="2"/>
      <c r="D11" s="2"/>
    </row>
    <row r="12" customFormat="false" ht="15" hidden="false" customHeight="false" outlineLevel="0" collapsed="false">
      <c r="A12" s="5" t="s">
        <v>86</v>
      </c>
      <c r="B12" s="17" t="n">
        <v>0.25</v>
      </c>
      <c r="C12" s="2"/>
      <c r="D12" s="2"/>
    </row>
    <row r="13" customFormat="false" ht="15" hidden="false" customHeight="false" outlineLevel="0" collapsed="false">
      <c r="A13" s="5" t="s">
        <v>87</v>
      </c>
      <c r="B13" s="17" t="n">
        <v>0.25</v>
      </c>
      <c r="C13" s="2"/>
      <c r="D13" s="2"/>
    </row>
    <row r="14" customFormat="false" ht="15" hidden="false" customHeight="false" outlineLevel="0" collapsed="false">
      <c r="A14" s="5" t="s">
        <v>88</v>
      </c>
      <c r="B14" s="18" t="n">
        <v>0.25</v>
      </c>
      <c r="C14" s="2"/>
      <c r="D14" s="2"/>
    </row>
    <row r="15" customFormat="false" ht="15" hidden="false" customHeight="false" outlineLevel="0" collapsed="false">
      <c r="A15" s="5" t="s">
        <v>89</v>
      </c>
      <c r="B15" s="17" t="n">
        <v>0.01</v>
      </c>
      <c r="C15" s="2"/>
      <c r="D15" s="2"/>
    </row>
    <row r="16" customFormat="false" ht="15" hidden="false" customHeight="false" outlineLevel="0" collapsed="false">
      <c r="A16" s="5" t="s">
        <v>90</v>
      </c>
      <c r="B16" s="17" t="n">
        <v>0.02</v>
      </c>
      <c r="C16" s="2"/>
      <c r="D16" s="2"/>
    </row>
    <row r="17" customFormat="false" ht="15" hidden="false" customHeight="false" outlineLevel="0" collapsed="false">
      <c r="A17" s="5" t="s">
        <v>91</v>
      </c>
      <c r="B17" s="17" t="n">
        <v>0.03</v>
      </c>
      <c r="C17" s="2"/>
      <c r="D17" s="2"/>
    </row>
    <row r="18" customFormat="false" ht="15" hidden="false" customHeight="false" outlineLevel="0" collapsed="false">
      <c r="A18" s="5" t="s">
        <v>92</v>
      </c>
      <c r="B18" s="17" t="n">
        <v>0.05</v>
      </c>
      <c r="C18" s="2"/>
      <c r="D18" s="2"/>
    </row>
    <row r="19" customFormat="false" ht="15" hidden="false" customHeight="false" outlineLevel="0" collapsed="false">
      <c r="A19" s="5" t="s">
        <v>93</v>
      </c>
      <c r="B19" s="13" t="n">
        <v>24</v>
      </c>
      <c r="C19" s="2"/>
      <c r="D19" s="2"/>
    </row>
    <row r="20" customFormat="false" ht="15" hidden="false" customHeight="false" outlineLevel="0" collapsed="false">
      <c r="A20" s="5" t="s">
        <v>94</v>
      </c>
      <c r="B20" s="13" t="n">
        <v>28</v>
      </c>
      <c r="C20" s="2"/>
      <c r="D20" s="2"/>
    </row>
    <row r="21" customFormat="false" ht="15" hidden="false" customHeight="false" outlineLevel="0" collapsed="false">
      <c r="A21" s="5" t="s">
        <v>95</v>
      </c>
      <c r="B21" s="13" t="n">
        <v>10</v>
      </c>
      <c r="C21" s="2"/>
      <c r="D21" s="2"/>
    </row>
    <row r="22" customFormat="false" ht="15" hidden="false" customHeight="false" outlineLevel="0" collapsed="false">
      <c r="A22" s="5" t="s">
        <v>96</v>
      </c>
      <c r="B22" s="13" t="n">
        <v>10</v>
      </c>
      <c r="C22" s="2"/>
      <c r="D22" s="2"/>
    </row>
    <row r="23" customFormat="false" ht="15" hidden="false" customHeight="false" outlineLevel="0" collapsed="false">
      <c r="A23" s="5" t="s">
        <v>97</v>
      </c>
      <c r="B23" s="13" t="n">
        <v>0.25</v>
      </c>
      <c r="C23" s="2"/>
      <c r="D23" s="2"/>
    </row>
    <row r="24" customFormat="false" ht="15" hidden="false" customHeight="false" outlineLevel="0" collapsed="false">
      <c r="A24" s="5" t="s">
        <v>98</v>
      </c>
      <c r="B24" s="13" t="n">
        <v>13</v>
      </c>
      <c r="C24" s="2"/>
      <c r="D24" s="2"/>
    </row>
    <row r="25" customFormat="false" ht="15" hidden="false" customHeight="false" outlineLevel="0" collapsed="false">
      <c r="A25" s="5" t="s">
        <v>99</v>
      </c>
      <c r="B25" s="13" t="n">
        <v>6</v>
      </c>
      <c r="C25" s="2"/>
      <c r="D25" s="2"/>
    </row>
    <row r="26" customFormat="false" ht="15" hidden="false" customHeight="false" outlineLevel="0" collapsed="false">
      <c r="A26" s="5" t="s">
        <v>100</v>
      </c>
      <c r="B26" s="13" t="n">
        <v>7</v>
      </c>
      <c r="C26" s="2"/>
      <c r="D26" s="2"/>
    </row>
    <row r="27" customFormat="false" ht="15" hidden="false" customHeight="false" outlineLevel="0" collapsed="false">
      <c r="A27" s="5" t="s">
        <v>48</v>
      </c>
      <c r="B27" s="19" t="n">
        <v>10</v>
      </c>
      <c r="C27" s="2"/>
      <c r="D27" s="2"/>
    </row>
    <row r="28" customFormat="false" ht="15" hidden="false" customHeight="false" outlineLevel="0" collapsed="false">
      <c r="A28" s="5" t="s">
        <v>101</v>
      </c>
      <c r="B28" s="19" t="n">
        <v>170</v>
      </c>
      <c r="C28" s="2"/>
      <c r="D28" s="2"/>
    </row>
    <row r="29" customFormat="false" ht="15" hidden="false" customHeight="false" outlineLevel="0" collapsed="false">
      <c r="A29" s="5" t="s">
        <v>102</v>
      </c>
      <c r="B29" s="12" t="n">
        <v>205</v>
      </c>
      <c r="C29" s="2"/>
      <c r="D29" s="2"/>
    </row>
    <row r="30" customFormat="false" ht="15" hidden="false" customHeight="false" outlineLevel="0" collapsed="false">
      <c r="A30" s="5" t="s">
        <v>103</v>
      </c>
      <c r="B30" s="12" t="n">
        <v>150</v>
      </c>
      <c r="C30" s="2"/>
      <c r="D30" s="2"/>
    </row>
    <row r="31" customFormat="false" ht="15" hidden="false" customHeight="false" outlineLevel="0" collapsed="false">
      <c r="A31" s="2"/>
      <c r="B31" s="2"/>
      <c r="C31" s="2"/>
      <c r="D31" s="2"/>
    </row>
    <row r="32" customFormat="false" ht="15" hidden="false" customHeight="false" outlineLevel="0" collapsed="false">
      <c r="A32" s="7" t="s">
        <v>104</v>
      </c>
      <c r="B32" s="20" t="n">
        <f aca="false">Annahmen!$B$11*(Annahmen!$B$19+Annahmen!$B$23+Annahmen!$B$27)+Annahmen!$B$12*(Annahmen!$B$20+Annahmen!$B$24+Annahmen!$B$27)+Annahmen!$B$13*(Annahmen!$B$21+Annahmen!$B$25+Annahmen!$B$27)+Annahmen!$B$14*(Annahmen!$B$22+Annahmen!$B$26+Annahmen!$B$27)</f>
        <v>34.5625</v>
      </c>
      <c r="C32" s="2"/>
      <c r="D32" s="2"/>
    </row>
    <row r="33" customFormat="false" ht="15" hidden="false" customHeight="false" outlineLevel="0" collapsed="false">
      <c r="A33" s="2"/>
      <c r="B33" s="2"/>
      <c r="C33" s="2"/>
      <c r="D33" s="2"/>
    </row>
    <row r="34" customFormat="false" ht="15" hidden="false" customHeight="false" outlineLevel="0" collapsed="false">
      <c r="A34" s="4" t="s">
        <v>105</v>
      </c>
      <c r="B34" s="4" t="s">
        <v>3</v>
      </c>
      <c r="C34" s="4" t="s">
        <v>4</v>
      </c>
      <c r="D34" s="4" t="s">
        <v>5</v>
      </c>
    </row>
    <row r="35" customFormat="false" ht="15" hidden="false" customHeight="false" outlineLevel="0" collapsed="false">
      <c r="A35" s="5" t="s">
        <v>106</v>
      </c>
      <c r="B35" s="19" t="n">
        <v>1</v>
      </c>
      <c r="C35" s="19" t="n">
        <v>2</v>
      </c>
      <c r="D35" s="19" t="n">
        <v>3</v>
      </c>
    </row>
    <row r="36" customFormat="false" ht="15" hidden="false" customHeight="false" outlineLevel="0" collapsed="false">
      <c r="A36" s="5" t="s">
        <v>107</v>
      </c>
      <c r="B36" s="19" t="n">
        <v>2</v>
      </c>
      <c r="C36" s="19" t="n">
        <v>3</v>
      </c>
      <c r="D36" s="19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110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111</v>
      </c>
      <c r="B5" s="21" t="n">
        <f aca="false">Annahmen!$B$35</f>
        <v>1</v>
      </c>
      <c r="C5" s="21" t="n">
        <f aca="false">Annahmen!$B$35</f>
        <v>1</v>
      </c>
      <c r="D5" s="21" t="n">
        <f aca="false">Annahmen!$B$36</f>
        <v>2</v>
      </c>
      <c r="E5" s="21" t="n">
        <f aca="false">Annahmen!$B$36</f>
        <v>2</v>
      </c>
      <c r="F5" s="21" t="n">
        <f aca="false">Annahmen!$B$36</f>
        <v>2</v>
      </c>
      <c r="G5" s="21" t="n">
        <f aca="false">Annahmen!$B$36</f>
        <v>2</v>
      </c>
      <c r="H5" s="21" t="n">
        <f aca="false">Annahmen!$B$36</f>
        <v>2</v>
      </c>
      <c r="I5" s="21" t="n">
        <f aca="false">Annahmen!$B$36</f>
        <v>2</v>
      </c>
      <c r="J5" s="21" t="n">
        <f aca="false">Annahmen!$B$36</f>
        <v>2</v>
      </c>
      <c r="K5" s="21" t="n">
        <f aca="false">Annahmen!$B$36</f>
        <v>2</v>
      </c>
      <c r="L5" s="21" t="n">
        <f aca="false">Annahmen!$B$36</f>
        <v>2</v>
      </c>
      <c r="M5" s="21" t="n">
        <f aca="false">Annahmen!$B$36</f>
        <v>2</v>
      </c>
      <c r="N5" s="21" t="n">
        <f aca="false">Annahmen!$B$36</f>
        <v>2</v>
      </c>
      <c r="O5" s="21" t="n">
        <f aca="false">Annahmen!$B$36</f>
        <v>2</v>
      </c>
      <c r="P5" s="21" t="n">
        <f aca="false">Annahmen!$B$36</f>
        <v>2</v>
      </c>
      <c r="Q5" s="21" t="n">
        <f aca="false">Annahmen!$B$36</f>
        <v>2</v>
      </c>
      <c r="R5" s="21" t="n">
        <f aca="false">Annahmen!$B$36</f>
        <v>2</v>
      </c>
      <c r="S5" s="21" t="n">
        <f aca="false">Annahmen!$B$36</f>
        <v>2</v>
      </c>
      <c r="T5" s="21" t="n">
        <f aca="false">Annahmen!$B$36</f>
        <v>2</v>
      </c>
      <c r="U5" s="21" t="n">
        <f aca="false">Annahmen!$B$36</f>
        <v>2</v>
      </c>
      <c r="V5" s="21" t="n">
        <f aca="false">Annahmen!$B$36</f>
        <v>2</v>
      </c>
      <c r="W5" s="21" t="n">
        <f aca="false">Annahmen!$B$36</f>
        <v>2</v>
      </c>
      <c r="X5" s="21" t="n">
        <f aca="false">Annahmen!$B$36</f>
        <v>2</v>
      </c>
      <c r="Y5" s="21" t="n">
        <f aca="false">Annahmen!$B$36</f>
        <v>2</v>
      </c>
    </row>
    <row r="6" customFormat="false" ht="15" hidden="false" customHeight="false" outlineLevel="0" collapsed="false">
      <c r="A6" s="5" t="s">
        <v>112</v>
      </c>
      <c r="B6" s="21" t="n">
        <f aca="false">0*Annahmen!$B$23+0*Annahmen!$B$24+0*Annahmen!$B$25+0*Annahmen!$B$26</f>
        <v>0</v>
      </c>
      <c r="C6" s="21" t="n">
        <f aca="false">B10*Annahmen!$B$23+B11*Annahmen!$B$24+B12*Annahmen!$B$25+B13*Annahmen!$B$26</f>
        <v>6.5625</v>
      </c>
      <c r="D6" s="21" t="n">
        <f aca="false">C10*Annahmen!$B$23+C11*Annahmen!$B$24+C12*Annahmen!$B$25+C13*Annahmen!$B$26</f>
        <v>12.926875</v>
      </c>
      <c r="E6" s="21" t="n">
        <f aca="false">D10*Annahmen!$B$23+D11*Annahmen!$B$24+D12*Annahmen!$B$25+D13*Annahmen!$B$26</f>
        <v>25.66265625</v>
      </c>
      <c r="F6" s="21" t="n">
        <f aca="false">E10*Annahmen!$B$23+E11*Annahmen!$B$24+E12*Annahmen!$B$25+E13*Annahmen!$B$26</f>
        <v>38.0159646875</v>
      </c>
      <c r="G6" s="21" t="n">
        <f aca="false">F10*Annahmen!$B$23+F11*Annahmen!$B$24+F12*Annahmen!$B$25+F13*Annahmen!$B$26</f>
        <v>50.000304860625</v>
      </c>
      <c r="H6" s="21" t="n">
        <f aca="false">G10*Annahmen!$B$23+G11*Annahmen!$B$24+G12*Annahmen!$B$25+G13*Annahmen!$B$26</f>
        <v>61.6286354450187</v>
      </c>
      <c r="I6" s="21" t="n">
        <f aca="false">H10*Annahmen!$B$23+H11*Annahmen!$B$24+H12*Annahmen!$B$25+H13*Annahmen!$B$26</f>
        <v>72.9133934312766</v>
      </c>
      <c r="J6" s="21" t="n">
        <f aca="false">I10*Annahmen!$B$23+I11*Annahmen!$B$24+I12*Annahmen!$B$25+I13*Annahmen!$B$26</f>
        <v>83.8665171808021</v>
      </c>
      <c r="K6" s="21" t="n">
        <f aca="false">J10*Annahmen!$B$23+J11*Annahmen!$B$24+J12*Annahmen!$B$25+J13*Annahmen!$B$26</f>
        <v>94.4994684046399</v>
      </c>
      <c r="L6" s="21" t="n">
        <f aca="false">K10*Annahmen!$B$23+K11*Annahmen!$B$24+K12*Annahmen!$B$25+K13*Annahmen!$B$26</f>
        <v>104.823253117162</v>
      </c>
      <c r="M6" s="21" t="n">
        <f aca="false">L10*Annahmen!$B$23+L11*Annahmen!$B$24+L12*Annahmen!$B$25+L13*Annahmen!$B$26</f>
        <v>114.098773300564</v>
      </c>
      <c r="N6" s="21" t="n">
        <f aca="false">M10*Annahmen!$B$23+M11*Annahmen!$B$24+M12*Annahmen!$B$25+M13*Annahmen!$B$26</f>
        <v>121.347309019012</v>
      </c>
      <c r="O6" s="21" t="n">
        <f aca="false">N10*Annahmen!$B$23+N11*Annahmen!$B$24+N12*Annahmen!$B$25+N13*Annahmen!$B$26</f>
        <v>127.01585334861</v>
      </c>
      <c r="P6" s="21" t="n">
        <f aca="false">O10*Annahmen!$B$23+O11*Annahmen!$B$24+O12*Annahmen!$B$25+O13*Annahmen!$B$26</f>
        <v>131.45267227738</v>
      </c>
      <c r="Q6" s="21" t="n">
        <f aca="false">P10*Annahmen!$B$23+P11*Annahmen!$B$24+P12*Annahmen!$B$25+P13*Annahmen!$B$26</f>
        <v>134.929116688246</v>
      </c>
      <c r="R6" s="21" t="n">
        <f aca="false">Q10*Annahmen!$B$23+Q11*Annahmen!$B$24+Q12*Annahmen!$B$25+Q13*Annahmen!$B$26</f>
        <v>137.656615122788</v>
      </c>
      <c r="S6" s="21" t="n">
        <f aca="false">R10*Annahmen!$B$23+R11*Annahmen!$B$24+R12*Annahmen!$B$25+R13*Annahmen!$B$26</f>
        <v>139.799912112068</v>
      </c>
      <c r="T6" s="21" t="n">
        <f aca="false">S10*Annahmen!$B$23+S11*Annahmen!$B$24+S12*Annahmen!$B$25+S13*Annahmen!$B$26</f>
        <v>141.487381600359</v>
      </c>
      <c r="U6" s="21" t="n">
        <f aca="false">T10*Annahmen!$B$23+T11*Annahmen!$B$24+T12*Annahmen!$B$25+T13*Annahmen!$B$26</f>
        <v>142.819061707005</v>
      </c>
      <c r="V6" s="21" t="n">
        <f aca="false">U10*Annahmen!$B$23+U11*Annahmen!$B$24+U12*Annahmen!$B$25+U13*Annahmen!$B$26</f>
        <v>143.872914286232</v>
      </c>
      <c r="W6" s="21" t="n">
        <f aca="false">V10*Annahmen!$B$23+V11*Annahmen!$B$24+V12*Annahmen!$B$25+V13*Annahmen!$B$26</f>
        <v>144.709701507215</v>
      </c>
      <c r="X6" s="21" t="n">
        <f aca="false">W10*Annahmen!$B$23+W11*Annahmen!$B$24+W12*Annahmen!$B$25+W13*Annahmen!$B$26</f>
        <v>145.376785016746</v>
      </c>
      <c r="Y6" s="21" t="n">
        <f aca="false">X10*Annahmen!$B$23+X11*Annahmen!$B$24+X12*Annahmen!$B$25+X13*Annahmen!$B$26</f>
        <v>145.911085734017</v>
      </c>
    </row>
    <row r="7" customFormat="false" ht="15" hidden="false" customHeight="false" outlineLevel="0" collapsed="false">
      <c r="A7" s="5" t="s">
        <v>113</v>
      </c>
      <c r="B7" s="21" t="n">
        <f aca="false">MAX(0,(Annahmen!$B$28-B6)/Annahmen!$B$32)</f>
        <v>4.91862567811935</v>
      </c>
      <c r="C7" s="21" t="n">
        <f aca="false">MAX(0,(Annahmen!$B$28-C6)/Annahmen!$B$32)</f>
        <v>4.72875226039783</v>
      </c>
      <c r="D7" s="21" t="n">
        <f aca="false">MAX(0,(Annahmen!$B$28-D6)/Annahmen!$B$32)</f>
        <v>4.54461121157324</v>
      </c>
      <c r="E7" s="21" t="n">
        <f aca="false">MAX(0,(Annahmen!$B$28-E6)/Annahmen!$B$32)</f>
        <v>4.17612567811935</v>
      </c>
      <c r="F7" s="21" t="n">
        <f aca="false">MAX(0,(Annahmen!$B$28-F6)/Annahmen!$B$32)</f>
        <v>3.81870626582279</v>
      </c>
      <c r="G7" s="21" t="n">
        <f aca="false">MAX(0,(Annahmen!$B$28-G6)/Annahmen!$B$32)</f>
        <v>3.4719622463472</v>
      </c>
      <c r="H7" s="21" t="n">
        <f aca="false">MAX(0,(Annahmen!$B$28-H6)/Annahmen!$B$32)</f>
        <v>3.13551868513508</v>
      </c>
      <c r="I7" s="21" t="n">
        <f aca="false">MAX(0,(Annahmen!$B$28-I6)/Annahmen!$B$32)</f>
        <v>2.80901574159055</v>
      </c>
      <c r="J7" s="21" t="n">
        <f aca="false">MAX(0,(Annahmen!$B$28-J6)/Annahmen!$B$32)</f>
        <v>2.49210800200211</v>
      </c>
      <c r="K7" s="21" t="n">
        <f aca="false">MAX(0,(Annahmen!$B$28-K6)/Annahmen!$B$32)</f>
        <v>2.18446384362706</v>
      </c>
      <c r="L7" s="21" t="n">
        <f aca="false">MAX(0,(Annahmen!$B$28-L6)/Annahmen!$B$32)</f>
        <v>1.88576482843653</v>
      </c>
      <c r="M7" s="21" t="n">
        <f aca="false">MAX(0,(Annahmen!$B$28-M6)/Annahmen!$B$32)</f>
        <v>1.61739534754245</v>
      </c>
      <c r="N7" s="21" t="n">
        <f aca="false">MAX(0,(Annahmen!$B$28-N6)/Annahmen!$B$32)</f>
        <v>1.40767279510996</v>
      </c>
      <c r="O7" s="21" t="n">
        <f aca="false">MAX(0,(Annahmen!$B$28-O6)/Annahmen!$B$32)</f>
        <v>1.24366427924454</v>
      </c>
      <c r="P7" s="21" t="n">
        <f aca="false">MAX(0,(Annahmen!$B$28-P6)/Annahmen!$B$32)</f>
        <v>1.11529338799625</v>
      </c>
      <c r="Q7" s="21" t="n">
        <f aca="false">MAX(0,(Annahmen!$B$28-Q6)/Annahmen!$B$32)</f>
        <v>1.01470910124423</v>
      </c>
      <c r="R7" s="21" t="n">
        <f aca="false">MAX(0,(Annahmen!$B$28-R6)/Annahmen!$B$32)</f>
        <v>0.935794137496178</v>
      </c>
      <c r="S7" s="21" t="n">
        <f aca="false">MAX(0,(Annahmen!$B$28-S6)/Annahmen!$B$32)</f>
        <v>0.873781928041432</v>
      </c>
      <c r="T7" s="21" t="n">
        <f aca="false">MAX(0,(Annahmen!$B$28-T6)/Annahmen!$B$32)</f>
        <v>0.824958217711136</v>
      </c>
      <c r="U7" s="21" t="n">
        <f aca="false">MAX(0,(Annahmen!$B$28-U6)/Annahmen!$B$32)</f>
        <v>0.786428594372356</v>
      </c>
      <c r="V7" s="21" t="n">
        <f aca="false">MAX(0,(Annahmen!$B$28-V6)/Annahmen!$B$32)</f>
        <v>0.755937380506857</v>
      </c>
      <c r="W7" s="21" t="n">
        <f aca="false">MAX(0,(Annahmen!$B$28-W6)/Annahmen!$B$32)</f>
        <v>0.731726538670098</v>
      </c>
      <c r="X7" s="21" t="n">
        <f aca="false">MAX(0,(Annahmen!$B$28-X6)/Annahmen!$B$32)</f>
        <v>0.712425749967564</v>
      </c>
      <c r="Y7" s="21" t="n">
        <f aca="false">MAX(0,(Annahmen!$B$28-Y6)/Annahmen!$B$32)</f>
        <v>0.696966778039302</v>
      </c>
    </row>
    <row r="8" customFormat="false" ht="15" hidden="false" customHeight="false" outlineLevel="0" collapsed="false">
      <c r="A8" s="7" t="s">
        <v>114</v>
      </c>
      <c r="B8" s="20" t="n">
        <f aca="false">MIN(B5,B7)</f>
        <v>1</v>
      </c>
      <c r="C8" s="20" t="n">
        <f aca="false">MIN(C5,C7)</f>
        <v>1</v>
      </c>
      <c r="D8" s="20" t="n">
        <f aca="false">MIN(D5,D7)</f>
        <v>2</v>
      </c>
      <c r="E8" s="20" t="n">
        <f aca="false">MIN(E5,E7)</f>
        <v>2</v>
      </c>
      <c r="F8" s="20" t="n">
        <f aca="false">MIN(F5,F7)</f>
        <v>2</v>
      </c>
      <c r="G8" s="20" t="n">
        <f aca="false">MIN(G5,G7)</f>
        <v>2</v>
      </c>
      <c r="H8" s="20" t="n">
        <f aca="false">MIN(H5,H7)</f>
        <v>2</v>
      </c>
      <c r="I8" s="20" t="n">
        <f aca="false">MIN(I5,I7)</f>
        <v>2</v>
      </c>
      <c r="J8" s="20" t="n">
        <f aca="false">MIN(J5,J7)</f>
        <v>2</v>
      </c>
      <c r="K8" s="20" t="n">
        <f aca="false">MIN(K5,K7)</f>
        <v>2</v>
      </c>
      <c r="L8" s="20" t="n">
        <f aca="false">MIN(L5,L7)</f>
        <v>1.88576482843653</v>
      </c>
      <c r="M8" s="20" t="n">
        <f aca="false">MIN(M5,M7)</f>
        <v>1.61739534754245</v>
      </c>
      <c r="N8" s="20" t="n">
        <f aca="false">MIN(N5,N7)</f>
        <v>1.40767279510996</v>
      </c>
      <c r="O8" s="20" t="n">
        <f aca="false">MIN(O5,O7)</f>
        <v>1.24366427924454</v>
      </c>
      <c r="P8" s="20" t="n">
        <f aca="false">MIN(P5,P7)</f>
        <v>1.11529338799625</v>
      </c>
      <c r="Q8" s="20" t="n">
        <f aca="false">MIN(Q5,Q7)</f>
        <v>1.01470910124423</v>
      </c>
      <c r="R8" s="20" t="n">
        <f aca="false">MIN(R5,R7)</f>
        <v>0.935794137496178</v>
      </c>
      <c r="S8" s="20" t="n">
        <f aca="false">MIN(S5,S7)</f>
        <v>0.873781928041432</v>
      </c>
      <c r="T8" s="20" t="n">
        <f aca="false">MIN(T5,T7)</f>
        <v>0.824958217711136</v>
      </c>
      <c r="U8" s="20" t="n">
        <f aca="false">MIN(U5,U7)</f>
        <v>0.786428594372356</v>
      </c>
      <c r="V8" s="20" t="n">
        <f aca="false">MIN(V5,V7)</f>
        <v>0.755937380506857</v>
      </c>
      <c r="W8" s="20" t="n">
        <f aca="false">MIN(W5,W7)</f>
        <v>0.731726538670098</v>
      </c>
      <c r="X8" s="20" t="n">
        <f aca="false">MIN(X5,X7)</f>
        <v>0.712425749967564</v>
      </c>
      <c r="Y8" s="20" t="n">
        <f aca="false">MIN(Y5,Y7)</f>
        <v>0.696966778039302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115</v>
      </c>
      <c r="B10" s="21" t="n">
        <f aca="false">0*(1-Annahmen!$B$15)+B8*Annahmen!$B$11</f>
        <v>0.25</v>
      </c>
      <c r="C10" s="21" t="n">
        <f aca="false">B10*(1-Annahmen!$B$15)+C8*Annahmen!$B$11</f>
        <v>0.4975</v>
      </c>
      <c r="D10" s="21" t="n">
        <f aca="false">C10*(1-Annahmen!$B$15)+D8*Annahmen!$B$11</f>
        <v>0.992525</v>
      </c>
      <c r="E10" s="21" t="n">
        <f aca="false">D10*(1-Annahmen!$B$15)+E8*Annahmen!$B$11</f>
        <v>1.48259975</v>
      </c>
      <c r="F10" s="21" t="n">
        <f aca="false">E10*(1-Annahmen!$B$15)+F8*Annahmen!$B$11</f>
        <v>1.9677737525</v>
      </c>
      <c r="G10" s="21" t="n">
        <f aca="false">F10*(1-Annahmen!$B$15)+G8*Annahmen!$B$11</f>
        <v>2.448096014975</v>
      </c>
      <c r="H10" s="21" t="n">
        <f aca="false">G10*(1-Annahmen!$B$15)+H8*Annahmen!$B$11</f>
        <v>2.92361505482525</v>
      </c>
      <c r="I10" s="21" t="n">
        <f aca="false">H10*(1-Annahmen!$B$15)+I8*Annahmen!$B$11</f>
        <v>3.394378904277</v>
      </c>
      <c r="J10" s="21" t="n">
        <f aca="false">I10*(1-Annahmen!$B$15)+J8*Annahmen!$B$11</f>
        <v>3.86043511523423</v>
      </c>
      <c r="K10" s="21" t="n">
        <f aca="false">J10*(1-Annahmen!$B$15)+K8*Annahmen!$B$11</f>
        <v>4.32183076408189</v>
      </c>
      <c r="L10" s="21" t="n">
        <f aca="false">K10*(1-Annahmen!$B$15)+L8*Annahmen!$B$11</f>
        <v>4.7500536635502</v>
      </c>
      <c r="M10" s="21" t="n">
        <f aca="false">L10*(1-Annahmen!$B$15)+M8*Annahmen!$B$11</f>
        <v>5.10690196380031</v>
      </c>
      <c r="N10" s="21" t="n">
        <f aca="false">M10*(1-Annahmen!$B$15)+N8*Annahmen!$B$11</f>
        <v>5.4077511429398</v>
      </c>
      <c r="O10" s="21" t="n">
        <f aca="false">N10*(1-Annahmen!$B$15)+O8*Annahmen!$B$11</f>
        <v>5.66458970132153</v>
      </c>
      <c r="P10" s="21" t="n">
        <f aca="false">O10*(1-Annahmen!$B$15)+P8*Annahmen!$B$11</f>
        <v>5.88676715130738</v>
      </c>
      <c r="Q10" s="21" t="n">
        <f aca="false">P10*(1-Annahmen!$B$15)+Q8*Annahmen!$B$11</f>
        <v>6.08157675510537</v>
      </c>
      <c r="R10" s="21" t="n">
        <f aca="false">Q10*(1-Annahmen!$B$15)+R8*Annahmen!$B$11</f>
        <v>6.25470952192836</v>
      </c>
      <c r="S10" s="21" t="n">
        <f aca="false">R10*(1-Annahmen!$B$15)+S8*Annahmen!$B$11</f>
        <v>6.41060790871943</v>
      </c>
      <c r="T10" s="21" t="n">
        <f aca="false">S10*(1-Annahmen!$B$15)+T8*Annahmen!$B$11</f>
        <v>6.55274138406002</v>
      </c>
      <c r="U10" s="21" t="n">
        <f aca="false">T10*(1-Annahmen!$B$15)+U8*Annahmen!$B$11</f>
        <v>6.68382111881251</v>
      </c>
      <c r="V10" s="21" t="n">
        <f aca="false">U10*(1-Annahmen!$B$15)+V8*Annahmen!$B$11</f>
        <v>6.8059672527511</v>
      </c>
      <c r="W10" s="21" t="n">
        <f aca="false">V10*(1-Annahmen!$B$15)+W8*Annahmen!$B$11</f>
        <v>6.92083921489111</v>
      </c>
      <c r="X10" s="21" t="n">
        <f aca="false">W10*(1-Annahmen!$B$15)+X8*Annahmen!$B$11</f>
        <v>7.02973726023409</v>
      </c>
      <c r="Y10" s="21" t="n">
        <f aca="false">X10*(1-Annahmen!$B$15)+Y8*Annahmen!$B$11</f>
        <v>7.13368158214158</v>
      </c>
    </row>
    <row r="11" customFormat="false" ht="15" hidden="false" customHeight="false" outlineLevel="0" collapsed="false">
      <c r="A11" s="5" t="s">
        <v>116</v>
      </c>
      <c r="B11" s="21" t="n">
        <f aca="false">0*(1-Annahmen!$B$16)+B8*Annahmen!$B$12</f>
        <v>0.25</v>
      </c>
      <c r="C11" s="21" t="n">
        <f aca="false">B11*(1-Annahmen!$B$16)+C8*Annahmen!$B$12</f>
        <v>0.495</v>
      </c>
      <c r="D11" s="21" t="n">
        <f aca="false">C11*(1-Annahmen!$B$16)+D8*Annahmen!$B$12</f>
        <v>0.9851</v>
      </c>
      <c r="E11" s="21" t="n">
        <f aca="false">D11*(1-Annahmen!$B$16)+E8*Annahmen!$B$12</f>
        <v>1.465398</v>
      </c>
      <c r="F11" s="21" t="n">
        <f aca="false">E11*(1-Annahmen!$B$16)+F8*Annahmen!$B$12</f>
        <v>1.93609004</v>
      </c>
      <c r="G11" s="21" t="n">
        <f aca="false">F11*(1-Annahmen!$B$16)+G8*Annahmen!$B$12</f>
        <v>2.3973682392</v>
      </c>
      <c r="H11" s="21" t="n">
        <f aca="false">G11*(1-Annahmen!$B$16)+H8*Annahmen!$B$12</f>
        <v>2.849420874416</v>
      </c>
      <c r="I11" s="21" t="n">
        <f aca="false">H11*(1-Annahmen!$B$16)+I8*Annahmen!$B$12</f>
        <v>3.29243245692768</v>
      </c>
      <c r="J11" s="21" t="n">
        <f aca="false">I11*(1-Annahmen!$B$16)+J8*Annahmen!$B$12</f>
        <v>3.72658380778913</v>
      </c>
      <c r="K11" s="21" t="n">
        <f aca="false">J11*(1-Annahmen!$B$16)+K8*Annahmen!$B$12</f>
        <v>4.15205213163334</v>
      </c>
      <c r="L11" s="21" t="n">
        <f aca="false">K11*(1-Annahmen!$B$16)+L8*Annahmen!$B$12</f>
        <v>4.54045229610981</v>
      </c>
      <c r="M11" s="21" t="n">
        <f aca="false">L11*(1-Annahmen!$B$16)+M8*Annahmen!$B$12</f>
        <v>4.85399208707323</v>
      </c>
      <c r="N11" s="21" t="n">
        <f aca="false">M11*(1-Annahmen!$B$16)+N8*Annahmen!$B$12</f>
        <v>5.10883044410925</v>
      </c>
      <c r="O11" s="21" t="n">
        <f aca="false">N11*(1-Annahmen!$B$16)+O8*Annahmen!$B$12</f>
        <v>5.3175699050382</v>
      </c>
      <c r="P11" s="21" t="n">
        <f aca="false">O11*(1-Annahmen!$B$16)+P8*Annahmen!$B$12</f>
        <v>5.4900418539365</v>
      </c>
      <c r="Q11" s="21" t="n">
        <f aca="false">P11*(1-Annahmen!$B$16)+Q8*Annahmen!$B$12</f>
        <v>5.63391829216883</v>
      </c>
      <c r="R11" s="21" t="n">
        <f aca="false">Q11*(1-Annahmen!$B$16)+R8*Annahmen!$B$12</f>
        <v>5.7551884606995</v>
      </c>
      <c r="S11" s="21" t="n">
        <f aca="false">R11*(1-Annahmen!$B$16)+S8*Annahmen!$B$12</f>
        <v>5.85853017349587</v>
      </c>
      <c r="T11" s="21" t="n">
        <f aca="false">S11*(1-Annahmen!$B$16)+T8*Annahmen!$B$12</f>
        <v>5.94759912445373</v>
      </c>
      <c r="U11" s="21" t="n">
        <f aca="false">T11*(1-Annahmen!$B$16)+U8*Annahmen!$B$12</f>
        <v>6.02525429055775</v>
      </c>
      <c r="V11" s="21" t="n">
        <f aca="false">U11*(1-Annahmen!$B$16)+V8*Annahmen!$B$12</f>
        <v>6.0937335498733</v>
      </c>
      <c r="W11" s="21" t="n">
        <f aca="false">V11*(1-Annahmen!$B$16)+W8*Annahmen!$B$12</f>
        <v>6.15479051354336</v>
      </c>
      <c r="X11" s="21" t="n">
        <f aca="false">W11*(1-Annahmen!$B$16)+X8*Annahmen!$B$12</f>
        <v>6.20980114076439</v>
      </c>
      <c r="Y11" s="21" t="n">
        <f aca="false">X11*(1-Annahmen!$B$16)+Y8*Annahmen!$B$12</f>
        <v>6.25984681245893</v>
      </c>
    </row>
    <row r="12" customFormat="false" ht="15" hidden="false" customHeight="false" outlineLevel="0" collapsed="false">
      <c r="A12" s="5" t="s">
        <v>117</v>
      </c>
      <c r="B12" s="21" t="n">
        <f aca="false">0*(1-Annahmen!$B$17)+B8*Annahmen!$B$13</f>
        <v>0.25</v>
      </c>
      <c r="C12" s="21" t="n">
        <f aca="false">B12*(1-Annahmen!$B$17)+C8*Annahmen!$B$13</f>
        <v>0.4925</v>
      </c>
      <c r="D12" s="21" t="n">
        <f aca="false">C12*(1-Annahmen!$B$17)+D8*Annahmen!$B$13</f>
        <v>0.977725</v>
      </c>
      <c r="E12" s="21" t="n">
        <f aca="false">D12*(1-Annahmen!$B$17)+E8*Annahmen!$B$13</f>
        <v>1.44839325</v>
      </c>
      <c r="F12" s="21" t="n">
        <f aca="false">E12*(1-Annahmen!$B$17)+F8*Annahmen!$B$13</f>
        <v>1.9049414525</v>
      </c>
      <c r="G12" s="21" t="n">
        <f aca="false">F12*(1-Annahmen!$B$17)+G8*Annahmen!$B$13</f>
        <v>2.347793208925</v>
      </c>
      <c r="H12" s="21" t="n">
        <f aca="false">G12*(1-Annahmen!$B$17)+H8*Annahmen!$B$13</f>
        <v>2.77735941265725</v>
      </c>
      <c r="I12" s="21" t="n">
        <f aca="false">H12*(1-Annahmen!$B$17)+I8*Annahmen!$B$13</f>
        <v>3.19403863027753</v>
      </c>
      <c r="J12" s="21" t="n">
        <f aca="false">I12*(1-Annahmen!$B$17)+J8*Annahmen!$B$13</f>
        <v>3.59821747136921</v>
      </c>
      <c r="K12" s="21" t="n">
        <f aca="false">J12*(1-Annahmen!$B$17)+K8*Annahmen!$B$13</f>
        <v>3.99027094722813</v>
      </c>
      <c r="L12" s="21" t="n">
        <f aca="false">K12*(1-Annahmen!$B$17)+L8*Annahmen!$B$13</f>
        <v>4.34200402592042</v>
      </c>
      <c r="M12" s="21" t="n">
        <f aca="false">L12*(1-Annahmen!$B$17)+M8*Annahmen!$B$13</f>
        <v>4.61609274202842</v>
      </c>
      <c r="N12" s="21" t="n">
        <f aca="false">M12*(1-Annahmen!$B$17)+N8*Annahmen!$B$13</f>
        <v>4.82952815854506</v>
      </c>
      <c r="O12" s="21" t="n">
        <f aca="false">N12*(1-Annahmen!$B$17)+O8*Annahmen!$B$13</f>
        <v>4.99555838359984</v>
      </c>
      <c r="P12" s="21" t="n">
        <f aca="false">O12*(1-Annahmen!$B$17)+P8*Annahmen!$B$13</f>
        <v>5.12451497909091</v>
      </c>
      <c r="Q12" s="21" t="n">
        <f aca="false">P12*(1-Annahmen!$B$17)+Q8*Annahmen!$B$13</f>
        <v>5.22445680502924</v>
      </c>
      <c r="R12" s="21" t="n">
        <f aca="false">Q12*(1-Annahmen!$B$17)+R8*Annahmen!$B$13</f>
        <v>5.30167163525241</v>
      </c>
      <c r="S12" s="21" t="n">
        <f aca="false">R12*(1-Annahmen!$B$17)+S8*Annahmen!$B$13</f>
        <v>5.36106696820519</v>
      </c>
      <c r="T12" s="21" t="n">
        <f aca="false">S12*(1-Annahmen!$B$17)+T8*Annahmen!$B$13</f>
        <v>5.40647451358682</v>
      </c>
      <c r="U12" s="21" t="n">
        <f aca="false">T12*(1-Annahmen!$B$17)+U8*Annahmen!$B$13</f>
        <v>5.4408874267723</v>
      </c>
      <c r="V12" s="21" t="n">
        <f aca="false">U12*(1-Annahmen!$B$17)+V8*Annahmen!$B$13</f>
        <v>5.46664514909585</v>
      </c>
      <c r="W12" s="21" t="n">
        <f aca="false">V12*(1-Annahmen!$B$17)+W8*Annahmen!$B$13</f>
        <v>5.4855774292905</v>
      </c>
      <c r="X12" s="21" t="n">
        <f aca="false">W12*(1-Annahmen!$B$17)+X8*Annahmen!$B$13</f>
        <v>5.49911654390367</v>
      </c>
      <c r="Y12" s="21" t="n">
        <f aca="false">X12*(1-Annahmen!$B$17)+Y8*Annahmen!$B$13</f>
        <v>5.50838474209639</v>
      </c>
    </row>
    <row r="13" customFormat="false" ht="15" hidden="false" customHeight="false" outlineLevel="0" collapsed="false">
      <c r="A13" s="5" t="s">
        <v>118</v>
      </c>
      <c r="B13" s="21" t="n">
        <f aca="false">0*(1-Annahmen!$B$18)+B8*Annahmen!$B$14</f>
        <v>0.25</v>
      </c>
      <c r="C13" s="21" t="n">
        <f aca="false">B13*(1-Annahmen!$B$18)+C8*Annahmen!$B$14</f>
        <v>0.4875</v>
      </c>
      <c r="D13" s="21" t="n">
        <f aca="false">C13*(1-Annahmen!$B$18)+D8*Annahmen!$B$14</f>
        <v>0.963125</v>
      </c>
      <c r="E13" s="21" t="n">
        <f aca="false">D13*(1-Annahmen!$B$18)+E8*Annahmen!$B$14</f>
        <v>1.41496875</v>
      </c>
      <c r="F13" s="21" t="n">
        <f aca="false">E13*(1-Annahmen!$B$18)+F8*Annahmen!$B$14</f>
        <v>1.8442203125</v>
      </c>
      <c r="G13" s="21" t="n">
        <f aca="false">F13*(1-Annahmen!$B$18)+G8*Annahmen!$B$14</f>
        <v>2.252009296875</v>
      </c>
      <c r="H13" s="21" t="n">
        <f aca="false">G13*(1-Annahmen!$B$18)+H8*Annahmen!$B$14</f>
        <v>2.63940883203125</v>
      </c>
      <c r="I13" s="21" t="n">
        <f aca="false">H13*(1-Annahmen!$B$18)+I8*Annahmen!$B$14</f>
        <v>3.00743839042969</v>
      </c>
      <c r="J13" s="21" t="n">
        <f aca="false">I13*(1-Annahmen!$B$18)+J8*Annahmen!$B$14</f>
        <v>3.3570664709082</v>
      </c>
      <c r="K13" s="21" t="n">
        <f aca="false">J13*(1-Annahmen!$B$18)+K8*Annahmen!$B$14</f>
        <v>3.68921314736279</v>
      </c>
      <c r="L13" s="21" t="n">
        <f aca="false">K13*(1-Annahmen!$B$18)+L8*Annahmen!$B$14</f>
        <v>3.97619369710379</v>
      </c>
      <c r="M13" s="21" t="n">
        <f aca="false">L13*(1-Annahmen!$B$18)+M8*Annahmen!$B$14</f>
        <v>4.18173284913421</v>
      </c>
      <c r="N13" s="21" t="n">
        <f aca="false">M13*(1-Annahmen!$B$18)+N8*Annahmen!$B$14</f>
        <v>4.32456440545499</v>
      </c>
      <c r="O13" s="21" t="n">
        <f aca="false">N13*(1-Annahmen!$B$18)+O8*Annahmen!$B$14</f>
        <v>4.41925225499337</v>
      </c>
      <c r="P13" s="21" t="n">
        <f aca="false">O13*(1-Annahmen!$B$18)+P8*Annahmen!$B$14</f>
        <v>4.47711298924277</v>
      </c>
      <c r="Q13" s="21" t="n">
        <f aca="false">P13*(1-Annahmen!$B$18)+Q8*Annahmen!$B$14</f>
        <v>4.50693461509169</v>
      </c>
      <c r="R13" s="21" t="n">
        <f aca="false">Q13*(1-Annahmen!$B$18)+R8*Annahmen!$B$14</f>
        <v>4.51553641871115</v>
      </c>
      <c r="S13" s="21" t="n">
        <f aca="false">R13*(1-Annahmen!$B$18)+S8*Annahmen!$B$14</f>
        <v>4.50820507978595</v>
      </c>
      <c r="T13" s="21" t="n">
        <f aca="false">S13*(1-Annahmen!$B$18)+T8*Annahmen!$B$14</f>
        <v>4.48903438022443</v>
      </c>
      <c r="U13" s="21" t="n">
        <f aca="false">T13*(1-Annahmen!$B$18)+U8*Annahmen!$B$14</f>
        <v>4.4611898098063</v>
      </c>
      <c r="V13" s="21" t="n">
        <f aca="false">U13*(1-Annahmen!$B$18)+V8*Annahmen!$B$14</f>
        <v>4.4271146644427</v>
      </c>
      <c r="W13" s="21" t="n">
        <f aca="false">V13*(1-Annahmen!$B$18)+W8*Annahmen!$B$14</f>
        <v>4.38869056588809</v>
      </c>
      <c r="X13" s="21" t="n">
        <f aca="false">W13*(1-Annahmen!$B$18)+X8*Annahmen!$B$14</f>
        <v>4.34736247508558</v>
      </c>
      <c r="Y13" s="21" t="n">
        <f aca="false">X13*(1-Annahmen!$B$18)+Y8*Annahmen!$B$14</f>
        <v>4.30423604584112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119</v>
      </c>
      <c r="B15" s="23" t="n">
        <f aca="false">B10*Annahmen!$B$6+B11*Annahmen!$B$7+B12*Annahmen!$B$8+B13*Annahmen!$B$9</f>
        <v>642.25</v>
      </c>
      <c r="C15" s="23" t="n">
        <f aca="false">C10*Annahmen!$B$6+C11*Annahmen!$B$7+C12*Annahmen!$B$8+C13*Annahmen!$B$9</f>
        <v>1264.6025</v>
      </c>
      <c r="D15" s="23" t="n">
        <f aca="false">D10*Annahmen!$B$6+D11*Annahmen!$B$7+D12*Annahmen!$B$8+D13*Annahmen!$B$9</f>
        <v>2510.038975</v>
      </c>
      <c r="E15" s="23" t="n">
        <f aca="false">E10*Annahmen!$B$6+E11*Annahmen!$B$7+E12*Annahmen!$B$8+E13*Annahmen!$B$9</f>
        <v>3717.11280525</v>
      </c>
      <c r="F15" s="23" t="n">
        <f aca="false">F10*Annahmen!$B$6+F11*Annahmen!$B$7+F12*Annahmen!$B$8+F13*Annahmen!$B$9</f>
        <v>4887.2271386975</v>
      </c>
      <c r="G15" s="23" t="n">
        <f aca="false">G10*Annahmen!$B$6+G11*Annahmen!$B$7+G12*Annahmen!$B$8+G13*Annahmen!$B$9</f>
        <v>6021.72664285352</v>
      </c>
      <c r="H15" s="23" t="n">
        <f aca="false">H10*Annahmen!$B$6+H11*Annahmen!$B$7+H12*Annahmen!$B$8+H13*Annahmen!$B$9</f>
        <v>7121.90015122444</v>
      </c>
      <c r="I15" s="23" t="n">
        <f aca="false">I10*Annahmen!$B$6+I11*Annahmen!$B$7+I12*Annahmen!$B$8+I13*Annahmen!$B$9</f>
        <v>8188.98318432282</v>
      </c>
      <c r="J15" s="23" t="n">
        <f aca="false">J10*Annahmen!$B$6+J11*Annahmen!$B$7+J12*Annahmen!$B$8+J13*Annahmen!$B$9</f>
        <v>9224.16035134969</v>
      </c>
      <c r="K15" s="23" t="n">
        <f aca="false">K10*Annahmen!$B$6+K11*Annahmen!$B$7+K12*Annahmen!$B$8+K13*Annahmen!$B$9</f>
        <v>10228.5676383406</v>
      </c>
      <c r="L15" s="23" t="n">
        <f aca="false">L10*Annahmen!$B$6+L11*Annahmen!$B$7+L12*Annahmen!$B$8+L13*Annahmen!$B$9</f>
        <v>11129.9270493462</v>
      </c>
      <c r="M15" s="23" t="n">
        <f aca="false">M10*Annahmen!$B$6+M11*Annahmen!$B$7+M12*Annahmen!$B$8+M13*Annahmen!$B$9</f>
        <v>11832.5639957902</v>
      </c>
      <c r="N15" s="23" t="n">
        <f aca="false">N10*Annahmen!$B$6+N11*Annahmen!$B$7+N12*Annahmen!$B$8+N13*Annahmen!$B$9</f>
        <v>12380.4035801057</v>
      </c>
      <c r="O15" s="23" t="n">
        <f aca="false">O10*Annahmen!$B$6+O11*Annahmen!$B$7+O12*Annahmen!$B$8+O13*Annahmen!$B$9</f>
        <v>12807.6645173033</v>
      </c>
      <c r="P15" s="23" t="n">
        <f aca="false">P10*Annahmen!$B$6+P11*Annahmen!$B$7+P12*Annahmen!$B$8+P13*Annahmen!$B$9</f>
        <v>13141.0037902537</v>
      </c>
      <c r="Q15" s="23" t="n">
        <f aca="false">Q10*Annahmen!$B$6+Q11*Annahmen!$B$7+Q12*Annahmen!$B$8+Q13*Annahmen!$B$9</f>
        <v>13401.1874483208</v>
      </c>
      <c r="R15" s="23" t="n">
        <f aca="false">R10*Annahmen!$B$6+R11*Annahmen!$B$7+R12*Annahmen!$B$8+R13*Annahmen!$B$9</f>
        <v>13604.3922463585</v>
      </c>
      <c r="S15" s="23" t="n">
        <f aca="false">S10*Annahmen!$B$6+S11*Annahmen!$B$7+S12*Annahmen!$B$8+S13*Annahmen!$B$9</f>
        <v>13763.2196886593</v>
      </c>
      <c r="T15" s="23" t="n">
        <f aca="false">T10*Annahmen!$B$6+T11*Annahmen!$B$7+T12*Annahmen!$B$8+T13*Annahmen!$B$9</f>
        <v>13887.4860210425</v>
      </c>
      <c r="U15" s="23" t="n">
        <f aca="false">U10*Annahmen!$B$6+U11*Annahmen!$B$7+U12*Annahmen!$B$8+U13*Annahmen!$B$9</f>
        <v>13984.8376746304</v>
      </c>
      <c r="V15" s="23" t="n">
        <f aca="false">V10*Annahmen!$B$6+V11*Annahmen!$B$7+V12*Annahmen!$B$8+V13*Annahmen!$B$9</f>
        <v>14061.2307272286</v>
      </c>
      <c r="W15" s="23" t="n">
        <f aca="false">W10*Annahmen!$B$6+W11*Annahmen!$B$7+W12*Annahmen!$B$8+W13*Annahmen!$B$9</f>
        <v>14121.3044272267</v>
      </c>
      <c r="X15" s="23" t="n">
        <f aca="false">X10*Annahmen!$B$6+X11*Annahmen!$B$7+X12*Annahmen!$B$8+X13*Annahmen!$B$9</f>
        <v>14168.6721866133</v>
      </c>
      <c r="Y15" s="23" t="n">
        <f aca="false">Y10*Annahmen!$B$6+Y11*Annahmen!$B$7+Y12*Annahmen!$B$8+Y13*Annahmen!$B$9</f>
        <v>14206.1482780985</v>
      </c>
    </row>
    <row r="16" customFormat="false" ht="15" hidden="false" customHeight="false" outlineLevel="0" collapsed="false">
      <c r="A16" s="5" t="s">
        <v>120</v>
      </c>
      <c r="B16" s="24" t="n">
        <f aca="false">B8*Annahmen!$B$11*Annahmen!$B$5+B8*Annahmen!$B$14*Annahmen!$B$10</f>
        <v>922.5</v>
      </c>
      <c r="C16" s="24" t="n">
        <f aca="false">C8*Annahmen!$B$11*Annahmen!$B$5+C8*Annahmen!$B$14*Annahmen!$B$10</f>
        <v>922.5</v>
      </c>
      <c r="D16" s="24" t="n">
        <f aca="false">D8*Annahmen!$B$11*Annahmen!$B$5+D8*Annahmen!$B$14*Annahmen!$B$10</f>
        <v>1845</v>
      </c>
      <c r="E16" s="24" t="n">
        <f aca="false">E8*Annahmen!$B$11*Annahmen!$B$5+E8*Annahmen!$B$14*Annahmen!$B$10</f>
        <v>1845</v>
      </c>
      <c r="F16" s="24" t="n">
        <f aca="false">F8*Annahmen!$B$11*Annahmen!$B$5+F8*Annahmen!$B$14*Annahmen!$B$10</f>
        <v>1845</v>
      </c>
      <c r="G16" s="24" t="n">
        <f aca="false">G8*Annahmen!$B$11*Annahmen!$B$5+G8*Annahmen!$B$14*Annahmen!$B$10</f>
        <v>1845</v>
      </c>
      <c r="H16" s="24" t="n">
        <f aca="false">H8*Annahmen!$B$11*Annahmen!$B$5+H8*Annahmen!$B$14*Annahmen!$B$10</f>
        <v>1845</v>
      </c>
      <c r="I16" s="24" t="n">
        <f aca="false">I8*Annahmen!$B$11*Annahmen!$B$5+I8*Annahmen!$B$14*Annahmen!$B$10</f>
        <v>1845</v>
      </c>
      <c r="J16" s="24" t="n">
        <f aca="false">J8*Annahmen!$B$11*Annahmen!$B$5+J8*Annahmen!$B$14*Annahmen!$B$10</f>
        <v>1845</v>
      </c>
      <c r="K16" s="24" t="n">
        <f aca="false">K8*Annahmen!$B$11*Annahmen!$B$5+K8*Annahmen!$B$14*Annahmen!$B$10</f>
        <v>1845</v>
      </c>
      <c r="L16" s="24" t="n">
        <f aca="false">L8*Annahmen!$B$11*Annahmen!$B$5+L8*Annahmen!$B$14*Annahmen!$B$10</f>
        <v>1739.6180542327</v>
      </c>
      <c r="M16" s="24" t="n">
        <f aca="false">M8*Annahmen!$B$11*Annahmen!$B$5+M8*Annahmen!$B$14*Annahmen!$B$10</f>
        <v>1492.04720810791</v>
      </c>
      <c r="N16" s="24" t="n">
        <f aca="false">N8*Annahmen!$B$11*Annahmen!$B$5+N8*Annahmen!$B$14*Annahmen!$B$10</f>
        <v>1298.57815348894</v>
      </c>
      <c r="O16" s="24" t="n">
        <f aca="false">O8*Annahmen!$B$11*Annahmen!$B$5+O8*Annahmen!$B$14*Annahmen!$B$10</f>
        <v>1147.28029760309</v>
      </c>
      <c r="P16" s="24" t="n">
        <f aca="false">P8*Annahmen!$B$11*Annahmen!$B$5+P8*Annahmen!$B$14*Annahmen!$B$10</f>
        <v>1028.85815042654</v>
      </c>
      <c r="Q16" s="24" t="n">
        <f aca="false">Q8*Annahmen!$B$11*Annahmen!$B$5+Q8*Annahmen!$B$14*Annahmen!$B$10</f>
        <v>936.069145897805</v>
      </c>
      <c r="R16" s="24" t="n">
        <f aca="false">R8*Annahmen!$B$11*Annahmen!$B$5+R8*Annahmen!$B$14*Annahmen!$B$10</f>
        <v>863.270091840225</v>
      </c>
      <c r="S16" s="24" t="n">
        <f aca="false">S8*Annahmen!$B$11*Annahmen!$B$5+S8*Annahmen!$B$14*Annahmen!$B$10</f>
        <v>806.063828618221</v>
      </c>
      <c r="T16" s="24" t="n">
        <f aca="false">T8*Annahmen!$B$11*Annahmen!$B$5+T8*Annahmen!$B$14*Annahmen!$B$10</f>
        <v>761.023955838523</v>
      </c>
      <c r="U16" s="24" t="n">
        <f aca="false">U8*Annahmen!$B$11*Annahmen!$B$5+U8*Annahmen!$B$14*Annahmen!$B$10</f>
        <v>725.480378308498</v>
      </c>
      <c r="V16" s="24" t="n">
        <f aca="false">V8*Annahmen!$B$11*Annahmen!$B$5+V8*Annahmen!$B$14*Annahmen!$B$10</f>
        <v>697.352233517576</v>
      </c>
      <c r="W16" s="24" t="n">
        <f aca="false">W8*Annahmen!$B$11*Annahmen!$B$5+W8*Annahmen!$B$14*Annahmen!$B$10</f>
        <v>675.017731923166</v>
      </c>
      <c r="X16" s="24" t="n">
        <f aca="false">X8*Annahmen!$B$11*Annahmen!$B$5+X8*Annahmen!$B$14*Annahmen!$B$10</f>
        <v>657.212754345077</v>
      </c>
      <c r="Y16" s="24" t="n">
        <f aca="false">Y8*Annahmen!$B$11*Annahmen!$B$5+Y8*Annahmen!$B$14*Annahmen!$B$10</f>
        <v>642.951852741257</v>
      </c>
    </row>
    <row r="17" customFormat="false" ht="15" hidden="false" customHeight="false" outlineLevel="0" collapsed="false">
      <c r="A17" s="7" t="s">
        <v>121</v>
      </c>
      <c r="B17" s="23" t="n">
        <f aca="false">B15+B16</f>
        <v>1564.75</v>
      </c>
      <c r="C17" s="23" t="n">
        <f aca="false">C15+C16</f>
        <v>2187.1025</v>
      </c>
      <c r="D17" s="23" t="n">
        <f aca="false">D15+D16</f>
        <v>4355.038975</v>
      </c>
      <c r="E17" s="23" t="n">
        <f aca="false">E15+E16</f>
        <v>5562.11280525</v>
      </c>
      <c r="F17" s="23" t="n">
        <f aca="false">F15+F16</f>
        <v>6732.2271386975</v>
      </c>
      <c r="G17" s="23" t="n">
        <f aca="false">G15+G16</f>
        <v>7866.72664285352</v>
      </c>
      <c r="H17" s="23" t="n">
        <f aca="false">H15+H16</f>
        <v>8966.90015122444</v>
      </c>
      <c r="I17" s="23" t="n">
        <f aca="false">I15+I16</f>
        <v>10033.9831843228</v>
      </c>
      <c r="J17" s="23" t="n">
        <f aca="false">J15+J16</f>
        <v>11069.1603513497</v>
      </c>
      <c r="K17" s="23" t="n">
        <f aca="false">K15+K16</f>
        <v>12073.5676383406</v>
      </c>
      <c r="L17" s="23" t="n">
        <f aca="false">L15+L16</f>
        <v>12869.545103579</v>
      </c>
      <c r="M17" s="23" t="n">
        <f aca="false">M15+M16</f>
        <v>13324.6112038981</v>
      </c>
      <c r="N17" s="23" t="n">
        <f aca="false">N15+N16</f>
        <v>13678.9817335947</v>
      </c>
      <c r="O17" s="23" t="n">
        <f aca="false">O15+O16</f>
        <v>13954.9448149064</v>
      </c>
      <c r="P17" s="23" t="n">
        <f aca="false">P15+P16</f>
        <v>14169.8619406802</v>
      </c>
      <c r="Q17" s="23" t="n">
        <f aca="false">Q15+Q16</f>
        <v>14337.2565942186</v>
      </c>
      <c r="R17" s="23" t="n">
        <f aca="false">R15+R16</f>
        <v>14467.6623381987</v>
      </c>
      <c r="S17" s="23" t="n">
        <f aca="false">S15+S16</f>
        <v>14569.2835172775</v>
      </c>
      <c r="T17" s="23" t="n">
        <f aca="false">T15+T16</f>
        <v>14648.5099768811</v>
      </c>
      <c r="U17" s="23" t="n">
        <f aca="false">U15+U16</f>
        <v>14710.3180529389</v>
      </c>
      <c r="V17" s="23" t="n">
        <f aca="false">V15+V16</f>
        <v>14758.5829607462</v>
      </c>
      <c r="W17" s="23" t="n">
        <f aca="false">W15+W16</f>
        <v>14796.3221591499</v>
      </c>
      <c r="X17" s="23" t="n">
        <f aca="false">X15+X16</f>
        <v>14825.8849409584</v>
      </c>
      <c r="Y17" s="23" t="n">
        <f aca="false">Y15+Y16</f>
        <v>14849.1001308398</v>
      </c>
    </row>
    <row r="18" customFormat="false" ht="15" hidden="false" customHeight="false" outlineLevel="0" collapsed="false">
      <c r="A18" s="5" t="s">
        <v>122</v>
      </c>
      <c r="B18" s="24" t="n">
        <f aca="false">Annahmen!$B$29+Annahmen!$B$30</f>
        <v>355</v>
      </c>
      <c r="C18" s="24" t="n">
        <f aca="false">Annahmen!$B$29+Annahmen!$B$30</f>
        <v>355</v>
      </c>
      <c r="D18" s="24" t="n">
        <f aca="false">Annahmen!$B$29+Annahmen!$B$30</f>
        <v>355</v>
      </c>
      <c r="E18" s="24" t="n">
        <f aca="false">Annahmen!$B$29+Annahmen!$B$30</f>
        <v>355</v>
      </c>
      <c r="F18" s="24" t="n">
        <f aca="false">Annahmen!$B$29+Annahmen!$B$30</f>
        <v>355</v>
      </c>
      <c r="G18" s="24" t="n">
        <f aca="false">Annahmen!$B$29+Annahmen!$B$30</f>
        <v>355</v>
      </c>
      <c r="H18" s="24" t="n">
        <f aca="false">Annahmen!$B$29+Annahmen!$B$30</f>
        <v>355</v>
      </c>
      <c r="I18" s="24" t="n">
        <f aca="false">Annahmen!$B$29+Annahmen!$B$30</f>
        <v>355</v>
      </c>
      <c r="J18" s="24" t="n">
        <f aca="false">Annahmen!$B$29+Annahmen!$B$30</f>
        <v>355</v>
      </c>
      <c r="K18" s="24" t="n">
        <f aca="false">Annahmen!$B$29+Annahmen!$B$30</f>
        <v>355</v>
      </c>
      <c r="L18" s="24" t="n">
        <f aca="false">Annahmen!$B$29+Annahmen!$B$30</f>
        <v>355</v>
      </c>
      <c r="M18" s="24" t="n">
        <f aca="false">Annahmen!$B$29+Annahmen!$B$30</f>
        <v>355</v>
      </c>
      <c r="N18" s="24" t="n">
        <f aca="false">Annahmen!$B$29+Annahmen!$B$30</f>
        <v>355</v>
      </c>
      <c r="O18" s="24" t="n">
        <f aca="false">Annahmen!$B$29+Annahmen!$B$30</f>
        <v>355</v>
      </c>
      <c r="P18" s="24" t="n">
        <f aca="false">Annahmen!$B$29+Annahmen!$B$30</f>
        <v>355</v>
      </c>
      <c r="Q18" s="24" t="n">
        <f aca="false">Annahmen!$B$29+Annahmen!$B$30</f>
        <v>355</v>
      </c>
      <c r="R18" s="24" t="n">
        <f aca="false">Annahmen!$B$29+Annahmen!$B$30</f>
        <v>355</v>
      </c>
      <c r="S18" s="24" t="n">
        <f aca="false">Annahmen!$B$29+Annahmen!$B$30</f>
        <v>355</v>
      </c>
      <c r="T18" s="24" t="n">
        <f aca="false">Annahmen!$B$29+Annahmen!$B$30</f>
        <v>355</v>
      </c>
      <c r="U18" s="24" t="n">
        <f aca="false">Annahmen!$B$29+Annahmen!$B$30</f>
        <v>355</v>
      </c>
      <c r="V18" s="24" t="n">
        <f aca="false">Annahmen!$B$29+Annahmen!$B$30</f>
        <v>355</v>
      </c>
      <c r="W18" s="24" t="n">
        <f aca="false">Annahmen!$B$29+Annahmen!$B$30</f>
        <v>355</v>
      </c>
      <c r="X18" s="24" t="n">
        <f aca="false">Annahmen!$B$29+Annahmen!$B$30</f>
        <v>355</v>
      </c>
      <c r="Y18" s="24" t="n">
        <f aca="false">Annahmen!$B$29+Annahmen!$B$30</f>
        <v>355</v>
      </c>
    </row>
    <row r="19" customFormat="false" ht="15" hidden="false" customHeight="false" outlineLevel="0" collapsed="false">
      <c r="A19" s="7" t="s">
        <v>123</v>
      </c>
      <c r="B19" s="23" t="n">
        <f aca="false">B17-B18</f>
        <v>1209.75</v>
      </c>
      <c r="C19" s="23" t="n">
        <f aca="false">C17-C18</f>
        <v>1832.1025</v>
      </c>
      <c r="D19" s="23" t="n">
        <f aca="false">D17-D18</f>
        <v>4000.038975</v>
      </c>
      <c r="E19" s="23" t="n">
        <f aca="false">E17-E18</f>
        <v>5207.11280525</v>
      </c>
      <c r="F19" s="23" t="n">
        <f aca="false">F17-F18</f>
        <v>6377.2271386975</v>
      </c>
      <c r="G19" s="23" t="n">
        <f aca="false">G17-G18</f>
        <v>7511.72664285352</v>
      </c>
      <c r="H19" s="23" t="n">
        <f aca="false">H17-H18</f>
        <v>8611.90015122444</v>
      </c>
      <c r="I19" s="23" t="n">
        <f aca="false">I17-I18</f>
        <v>9678.98318432282</v>
      </c>
      <c r="J19" s="23" t="n">
        <f aca="false">J17-J18</f>
        <v>10714.1603513497</v>
      </c>
      <c r="K19" s="23" t="n">
        <f aca="false">K17-K18</f>
        <v>11718.5676383406</v>
      </c>
      <c r="L19" s="23" t="n">
        <f aca="false">L17-L18</f>
        <v>12514.545103579</v>
      </c>
      <c r="M19" s="23" t="n">
        <f aca="false">M17-M18</f>
        <v>12969.6112038981</v>
      </c>
      <c r="N19" s="23" t="n">
        <f aca="false">N17-N18</f>
        <v>13323.9817335947</v>
      </c>
      <c r="O19" s="23" t="n">
        <f aca="false">O17-O18</f>
        <v>13599.9448149064</v>
      </c>
      <c r="P19" s="23" t="n">
        <f aca="false">P17-P18</f>
        <v>13814.8619406802</v>
      </c>
      <c r="Q19" s="23" t="n">
        <f aca="false">Q17-Q18</f>
        <v>13982.2565942186</v>
      </c>
      <c r="R19" s="23" t="n">
        <f aca="false">R17-R18</f>
        <v>14112.6623381987</v>
      </c>
      <c r="S19" s="23" t="n">
        <f aca="false">S17-S18</f>
        <v>14214.2835172775</v>
      </c>
      <c r="T19" s="23" t="n">
        <f aca="false">T17-T18</f>
        <v>14293.5099768811</v>
      </c>
      <c r="U19" s="23" t="n">
        <f aca="false">U17-U18</f>
        <v>14355.3180529389</v>
      </c>
      <c r="V19" s="23" t="n">
        <f aca="false">V17-V18</f>
        <v>14403.5829607462</v>
      </c>
      <c r="W19" s="23" t="n">
        <f aca="false">W17-W18</f>
        <v>14441.3221591499</v>
      </c>
      <c r="X19" s="23" t="n">
        <f aca="false">X17-X18</f>
        <v>14470.8849409584</v>
      </c>
      <c r="Y19" s="23" t="n">
        <f aca="false">Y17-Y18</f>
        <v>14494.1001308398</v>
      </c>
    </row>
    <row r="20" customFormat="false" ht="15" hidden="false" customHeight="false" outlineLevel="0" collapsed="false">
      <c r="A20" s="7" t="s">
        <v>124</v>
      </c>
      <c r="B20" s="16" t="n">
        <f aca="false">B19</f>
        <v>1209.75</v>
      </c>
      <c r="C20" s="16" t="n">
        <f aca="false">B20+C19</f>
        <v>3041.8525</v>
      </c>
      <c r="D20" s="16" t="n">
        <f aca="false">C20+D19</f>
        <v>7041.891475</v>
      </c>
      <c r="E20" s="16" t="n">
        <f aca="false">D20+E19</f>
        <v>12249.00428025</v>
      </c>
      <c r="F20" s="16" t="n">
        <f aca="false">E20+F19</f>
        <v>18626.2314189475</v>
      </c>
      <c r="G20" s="16" t="n">
        <f aca="false">F20+G19</f>
        <v>26137.958061801</v>
      </c>
      <c r="H20" s="16" t="n">
        <f aca="false">G20+H19</f>
        <v>34749.8582130255</v>
      </c>
      <c r="I20" s="16" t="n">
        <f aca="false">H20+I19</f>
        <v>44428.8413973483</v>
      </c>
      <c r="J20" s="16" t="n">
        <f aca="false">I20+J19</f>
        <v>55143.001748698</v>
      </c>
      <c r="K20" s="16" t="n">
        <f aca="false">J20+K19</f>
        <v>66861.5693870385</v>
      </c>
      <c r="L20" s="16" t="n">
        <f aca="false">K20+L19</f>
        <v>79376.1144906175</v>
      </c>
      <c r="M20" s="16" t="n">
        <f aca="false">L20+M19</f>
        <v>92345.7256945156</v>
      </c>
      <c r="N20" s="16" t="n">
        <f aca="false">M20+N19</f>
        <v>105669.70742811</v>
      </c>
      <c r="O20" s="16" t="n">
        <f aca="false">N20+O19</f>
        <v>119269.652243017</v>
      </c>
      <c r="P20" s="16" t="n">
        <f aca="false">O20+P19</f>
        <v>133084.514183697</v>
      </c>
      <c r="Q20" s="16" t="n">
        <f aca="false">P20+Q19</f>
        <v>147066.770777916</v>
      </c>
      <c r="R20" s="16" t="n">
        <f aca="false">Q20+R19</f>
        <v>161179.433116114</v>
      </c>
      <c r="S20" s="16" t="n">
        <f aca="false">R20+S19</f>
        <v>175393.716633392</v>
      </c>
      <c r="T20" s="16" t="n">
        <f aca="false">S20+T19</f>
        <v>189687.226610273</v>
      </c>
      <c r="U20" s="16" t="n">
        <f aca="false">T20+U19</f>
        <v>204042.544663212</v>
      </c>
      <c r="V20" s="16" t="n">
        <f aca="false">U20+V19</f>
        <v>218446.127623958</v>
      </c>
      <c r="W20" s="16" t="n">
        <f aca="false">V20+W19</f>
        <v>232887.449783108</v>
      </c>
      <c r="X20" s="16" t="n">
        <f aca="false">W20+X19</f>
        <v>247358.334724066</v>
      </c>
      <c r="Y20" s="16" t="n">
        <f aca="false">X20+Y19</f>
        <v>261852.434854906</v>
      </c>
    </row>
    <row r="21" customFormat="false" ht="15" hidden="false" customHeight="false" outlineLevel="0" collapsed="false">
      <c r="A21" s="5" t="s">
        <v>125</v>
      </c>
      <c r="B21" s="21" t="n">
        <f aca="false">B6+B8*Annahmen!$B$32</f>
        <v>34.5625</v>
      </c>
      <c r="C21" s="21" t="n">
        <f aca="false">C6+C8*Annahmen!$B$32</f>
        <v>41.125</v>
      </c>
      <c r="D21" s="21" t="n">
        <f aca="false">D6+D8*Annahmen!$B$32</f>
        <v>82.051875</v>
      </c>
      <c r="E21" s="21" t="n">
        <f aca="false">E6+E8*Annahmen!$B$32</f>
        <v>94.78765625</v>
      </c>
      <c r="F21" s="21" t="n">
        <f aca="false">F6+F8*Annahmen!$B$32</f>
        <v>107.1409646875</v>
      </c>
      <c r="G21" s="21" t="n">
        <f aca="false">G6+G8*Annahmen!$B$32</f>
        <v>119.125304860625</v>
      </c>
      <c r="H21" s="21" t="n">
        <f aca="false">H6+H8*Annahmen!$B$32</f>
        <v>130.753635445019</v>
      </c>
      <c r="I21" s="21" t="n">
        <f aca="false">I6+I8*Annahmen!$B$32</f>
        <v>142.038393431277</v>
      </c>
      <c r="J21" s="21" t="n">
        <f aca="false">J6+J8*Annahmen!$B$32</f>
        <v>152.991517180802</v>
      </c>
      <c r="K21" s="21" t="n">
        <f aca="false">K6+K8*Annahmen!$B$32</f>
        <v>163.62446840464</v>
      </c>
      <c r="L21" s="21" t="n">
        <f aca="false">L6+L8*Annahmen!$B$32</f>
        <v>170</v>
      </c>
      <c r="M21" s="21" t="n">
        <f aca="false">M6+M8*Annahmen!$B$32</f>
        <v>170</v>
      </c>
      <c r="N21" s="21" t="n">
        <f aca="false">N6+N8*Annahmen!$B$32</f>
        <v>170</v>
      </c>
      <c r="O21" s="21" t="n">
        <f aca="false">O6+O8*Annahmen!$B$32</f>
        <v>170</v>
      </c>
      <c r="P21" s="21" t="n">
        <f aca="false">P6+P8*Annahmen!$B$32</f>
        <v>170</v>
      </c>
      <c r="Q21" s="21" t="n">
        <f aca="false">Q6+Q8*Annahmen!$B$32</f>
        <v>170</v>
      </c>
      <c r="R21" s="21" t="n">
        <f aca="false">R6+R8*Annahmen!$B$32</f>
        <v>170</v>
      </c>
      <c r="S21" s="21" t="n">
        <f aca="false">S6+S8*Annahmen!$B$32</f>
        <v>170</v>
      </c>
      <c r="T21" s="21" t="n">
        <f aca="false">T6+T8*Annahmen!$B$32</f>
        <v>170</v>
      </c>
      <c r="U21" s="21" t="n">
        <f aca="false">U6+U8*Annahmen!$B$32</f>
        <v>170</v>
      </c>
      <c r="V21" s="21" t="n">
        <f aca="false">V6+V8*Annahmen!$B$32</f>
        <v>170</v>
      </c>
      <c r="W21" s="21" t="n">
        <f aca="false">W6+W8*Annahmen!$B$32</f>
        <v>170</v>
      </c>
      <c r="X21" s="21" t="n">
        <f aca="false">X6+X8*Annahmen!$B$32</f>
        <v>170</v>
      </c>
      <c r="Y21" s="21" t="n">
        <f aca="false">Y6+Y8*Annahmen!$B$32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110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111</v>
      </c>
      <c r="B5" s="21" t="n">
        <f aca="false">Annahmen!$C$35</f>
        <v>2</v>
      </c>
      <c r="C5" s="21" t="n">
        <f aca="false">Annahmen!$C$35</f>
        <v>2</v>
      </c>
      <c r="D5" s="21" t="n">
        <f aca="false">Annahmen!$C$36</f>
        <v>3</v>
      </c>
      <c r="E5" s="21" t="n">
        <f aca="false">Annahmen!$C$36</f>
        <v>3</v>
      </c>
      <c r="F5" s="21" t="n">
        <f aca="false">Annahmen!$C$36</f>
        <v>3</v>
      </c>
      <c r="G5" s="21" t="n">
        <f aca="false">Annahmen!$C$36</f>
        <v>3</v>
      </c>
      <c r="H5" s="21" t="n">
        <f aca="false">Annahmen!$C$36</f>
        <v>3</v>
      </c>
      <c r="I5" s="21" t="n">
        <f aca="false">Annahmen!$C$36</f>
        <v>3</v>
      </c>
      <c r="J5" s="21" t="n">
        <f aca="false">Annahmen!$C$36</f>
        <v>3</v>
      </c>
      <c r="K5" s="21" t="n">
        <f aca="false">Annahmen!$C$36</f>
        <v>3</v>
      </c>
      <c r="L5" s="21" t="n">
        <f aca="false">Annahmen!$C$36</f>
        <v>3</v>
      </c>
      <c r="M5" s="21" t="n">
        <f aca="false">Annahmen!$C$36</f>
        <v>3</v>
      </c>
      <c r="N5" s="21" t="n">
        <f aca="false">Annahmen!$C$36</f>
        <v>3</v>
      </c>
      <c r="O5" s="21" t="n">
        <f aca="false">Annahmen!$C$36</f>
        <v>3</v>
      </c>
      <c r="P5" s="21" t="n">
        <f aca="false">Annahmen!$C$36</f>
        <v>3</v>
      </c>
      <c r="Q5" s="21" t="n">
        <f aca="false">Annahmen!$C$36</f>
        <v>3</v>
      </c>
      <c r="R5" s="21" t="n">
        <f aca="false">Annahmen!$C$36</f>
        <v>3</v>
      </c>
      <c r="S5" s="21" t="n">
        <f aca="false">Annahmen!$C$36</f>
        <v>3</v>
      </c>
      <c r="T5" s="21" t="n">
        <f aca="false">Annahmen!$C$36</f>
        <v>3</v>
      </c>
      <c r="U5" s="21" t="n">
        <f aca="false">Annahmen!$C$36</f>
        <v>3</v>
      </c>
      <c r="V5" s="21" t="n">
        <f aca="false">Annahmen!$C$36</f>
        <v>3</v>
      </c>
      <c r="W5" s="21" t="n">
        <f aca="false">Annahmen!$C$36</f>
        <v>3</v>
      </c>
      <c r="X5" s="21" t="n">
        <f aca="false">Annahmen!$C$36</f>
        <v>3</v>
      </c>
      <c r="Y5" s="21" t="n">
        <f aca="false">Annahmen!$C$36</f>
        <v>3</v>
      </c>
    </row>
    <row r="6" customFormat="false" ht="15" hidden="false" customHeight="false" outlineLevel="0" collapsed="false">
      <c r="A6" s="5" t="s">
        <v>112</v>
      </c>
      <c r="B6" s="21" t="n">
        <f aca="false">0*Annahmen!$B$23+0*Annahmen!$B$24+0*Annahmen!$B$25+0*Annahmen!$B$26</f>
        <v>0</v>
      </c>
      <c r="C6" s="21" t="n">
        <f aca="false">B10*Annahmen!$B$23+B11*Annahmen!$B$24+B12*Annahmen!$B$25+B13*Annahmen!$B$26</f>
        <v>13.125</v>
      </c>
      <c r="D6" s="21" t="n">
        <f aca="false">C10*Annahmen!$B$23+C11*Annahmen!$B$24+C12*Annahmen!$B$25+C13*Annahmen!$B$26</f>
        <v>25.85375</v>
      </c>
      <c r="E6" s="21" t="n">
        <f aca="false">D10*Annahmen!$B$23+D11*Annahmen!$B$24+D12*Annahmen!$B$25+D13*Annahmen!$B$26</f>
        <v>44.7628125</v>
      </c>
      <c r="F6" s="21" t="n">
        <f aca="false">E10*Annahmen!$B$23+E11*Annahmen!$B$24+E12*Annahmen!$B$25+E13*Annahmen!$B$26</f>
        <v>63.105054375</v>
      </c>
      <c r="G6" s="21" t="n">
        <f aca="false">F10*Annahmen!$B$23+F11*Annahmen!$B$24+F12*Annahmen!$B$25+F13*Annahmen!$B$26</f>
        <v>80.90045347125</v>
      </c>
      <c r="H6" s="21" t="n">
        <f aca="false">G10*Annahmen!$B$23+G11*Annahmen!$B$24+G12*Annahmen!$B$25+G13*Annahmen!$B$26</f>
        <v>95.3983166193888</v>
      </c>
      <c r="I6" s="21" t="n">
        <f aca="false">H10*Annahmen!$B$23+H11*Annahmen!$B$24+H12*Annahmen!$B$25+H13*Annahmen!$B$26</f>
        <v>106.717773790783</v>
      </c>
      <c r="J6" s="21" t="n">
        <f aca="false">I10*Annahmen!$B$23+I11*Annahmen!$B$24+I12*Annahmen!$B$25+I13*Annahmen!$B$26</f>
        <v>115.560123163536</v>
      </c>
      <c r="K6" s="21" t="n">
        <f aca="false">J10*Annahmen!$B$23+J11*Annahmen!$B$24+J12*Annahmen!$B$25+J13*Annahmen!$B$26</f>
        <v>122.47175202193</v>
      </c>
      <c r="L6" s="21" t="n">
        <f aca="false">K10*Annahmen!$B$23+K11*Annahmen!$B$24+K12*Annahmen!$B$25+K13*Annahmen!$B$26</f>
        <v>127.878362180092</v>
      </c>
      <c r="M6" s="21" t="n">
        <f aca="false">L10*Annahmen!$B$23+L11*Annahmen!$B$24+L12*Annahmen!$B$25+L13*Annahmen!$B$26</f>
        <v>132.111633489244</v>
      </c>
      <c r="N6" s="21" t="n">
        <f aca="false">M10*Annahmen!$B$23+M11*Annahmen!$B$24+M12*Annahmen!$B$25+M13*Annahmen!$B$26</f>
        <v>135.429996203432</v>
      </c>
      <c r="O6" s="21" t="n">
        <f aca="false">N10*Annahmen!$B$23+N11*Annahmen!$B$24+N12*Annahmen!$B$25+N13*Annahmen!$B$26</f>
        <v>138.034813827166</v>
      </c>
      <c r="P6" s="21" t="n">
        <f aca="false">O10*Annahmen!$B$23+O11*Annahmen!$B$24+O12*Annahmen!$B$25+O13*Annahmen!$B$26</f>
        <v>140.082990479619</v>
      </c>
      <c r="Q6" s="21" t="n">
        <f aca="false">P10*Annahmen!$B$23+P11*Annahmen!$B$24+P12*Annahmen!$B$25+P13*Annahmen!$B$26</f>
        <v>141.696792762901</v>
      </c>
      <c r="R6" s="21" t="n">
        <f aca="false">Q10*Annahmen!$B$23+Q11*Annahmen!$B$24+Q12*Annahmen!$B$25+Q13*Annahmen!$B$26</f>
        <v>142.971501577201</v>
      </c>
      <c r="S6" s="21" t="n">
        <f aca="false">R10*Annahmen!$B$23+R11*Annahmen!$B$24+R12*Annahmen!$B$25+R13*Annahmen!$B$26</f>
        <v>143.981373345847</v>
      </c>
      <c r="T6" s="21" t="n">
        <f aca="false">S10*Annahmen!$B$23+S11*Annahmen!$B$24+S12*Annahmen!$B$25+S13*Annahmen!$B$26</f>
        <v>144.784284177856</v>
      </c>
      <c r="U6" s="21" t="n">
        <f aca="false">T10*Annahmen!$B$23+T11*Annahmen!$B$24+T12*Annahmen!$B$25+T13*Annahmen!$B$26</f>
        <v>145.425347966062</v>
      </c>
      <c r="V6" s="21" t="n">
        <f aca="false">U10*Annahmen!$B$23+U11*Annahmen!$B$24+U12*Annahmen!$B$25+U13*Annahmen!$B$26</f>
        <v>145.939735124064</v>
      </c>
      <c r="W6" s="21" t="n">
        <f aca="false">V10*Annahmen!$B$23+V11*Annahmen!$B$24+V12*Annahmen!$B$25+V13*Annahmen!$B$26</f>
        <v>146.354868576044</v>
      </c>
      <c r="X6" s="21" t="n">
        <f aca="false">W10*Annahmen!$B$23+W11*Annahmen!$B$24+W12*Annahmen!$B$25+W13*Annahmen!$B$26</f>
        <v>146.692134591391</v>
      </c>
      <c r="Y6" s="21" t="n">
        <f aca="false">X10*Annahmen!$B$23+X11*Annahmen!$B$24+X12*Annahmen!$B$25+X13*Annahmen!$B$26</f>
        <v>146.968215655668</v>
      </c>
    </row>
    <row r="7" customFormat="false" ht="15" hidden="false" customHeight="false" outlineLevel="0" collapsed="false">
      <c r="A7" s="5" t="s">
        <v>113</v>
      </c>
      <c r="B7" s="21" t="n">
        <f aca="false">MAX(0,(Annahmen!$B$28-B6)/Annahmen!$B$32)</f>
        <v>4.91862567811935</v>
      </c>
      <c r="C7" s="21" t="n">
        <f aca="false">MAX(0,(Annahmen!$B$28-C6)/Annahmen!$B$32)</f>
        <v>4.53887884267631</v>
      </c>
      <c r="D7" s="21" t="n">
        <f aca="false">MAX(0,(Annahmen!$B$28-D6)/Annahmen!$B$32)</f>
        <v>4.17059674502713</v>
      </c>
      <c r="E7" s="21" t="n">
        <f aca="false">MAX(0,(Annahmen!$B$28-E6)/Annahmen!$B$32)</f>
        <v>3.62349909584087</v>
      </c>
      <c r="F7" s="21" t="n">
        <f aca="false">MAX(0,(Annahmen!$B$28-F6)/Annahmen!$B$32)</f>
        <v>3.09280132007233</v>
      </c>
      <c r="G7" s="21" t="n">
        <f aca="false">MAX(0,(Annahmen!$B$28-G6)/Annahmen!$B$32)</f>
        <v>2.57792539685353</v>
      </c>
      <c r="H7" s="21" t="n">
        <f aca="false">MAX(0,(Annahmen!$B$28-H6)/Annahmen!$B$32)</f>
        <v>2.15845738533414</v>
      </c>
      <c r="I7" s="21" t="n">
        <f aca="false">MAX(0,(Annahmen!$B$28-I6)/Annahmen!$B$32)</f>
        <v>1.83095048706595</v>
      </c>
      <c r="J7" s="21" t="n">
        <f aca="false">MAX(0,(Annahmen!$B$28-J6)/Annahmen!$B$32)</f>
        <v>1.5751139771852</v>
      </c>
      <c r="K7" s="21" t="n">
        <f aca="false">MAX(0,(Annahmen!$B$28-K6)/Annahmen!$B$32)</f>
        <v>1.37513918200564</v>
      </c>
      <c r="L7" s="21" t="n">
        <f aca="false">MAX(0,(Annahmen!$B$28-L6)/Annahmen!$B$32)</f>
        <v>1.21870923167909</v>
      </c>
      <c r="M7" s="21" t="n">
        <f aca="false">MAX(0,(Annahmen!$B$28-M6)/Annahmen!$B$32)</f>
        <v>1.0962276024812</v>
      </c>
      <c r="N7" s="21" t="n">
        <f aca="false">MAX(0,(Annahmen!$B$28-N6)/Annahmen!$B$32)</f>
        <v>1.00021710803814</v>
      </c>
      <c r="O7" s="21" t="n">
        <f aca="false">MAX(0,(Annahmen!$B$28-O6)/Annahmen!$B$32)</f>
        <v>0.924851679503338</v>
      </c>
      <c r="P7" s="21" t="n">
        <f aca="false">MAX(0,(Annahmen!$B$28-P6)/Annahmen!$B$32)</f>
        <v>0.865591595526399</v>
      </c>
      <c r="Q7" s="21" t="n">
        <f aca="false">MAX(0,(Annahmen!$B$28-Q6)/Annahmen!$B$32)</f>
        <v>0.818899305232514</v>
      </c>
      <c r="R7" s="21" t="n">
        <f aca="false">MAX(0,(Annahmen!$B$28-R6)/Annahmen!$B$32)</f>
        <v>0.782018037549345</v>
      </c>
      <c r="S7" s="21" t="n">
        <f aca="false">MAX(0,(Annahmen!$B$28-S6)/Annahmen!$B$32)</f>
        <v>0.752799324532463</v>
      </c>
      <c r="T7" s="21" t="n">
        <f aca="false">MAX(0,(Annahmen!$B$28-T6)/Annahmen!$B$32)</f>
        <v>0.729568631382115</v>
      </c>
      <c r="U7" s="21" t="n">
        <f aca="false">MAX(0,(Annahmen!$B$28-U6)/Annahmen!$B$32)</f>
        <v>0.711020673676323</v>
      </c>
      <c r="V7" s="21" t="n">
        <f aca="false">MAX(0,(Annahmen!$B$28-V6)/Annahmen!$B$32)</f>
        <v>0.696137862594906</v>
      </c>
      <c r="W7" s="21" t="n">
        <f aca="false">MAX(0,(Annahmen!$B$28-W6)/Annahmen!$B$32)</f>
        <v>0.684126768143397</v>
      </c>
      <c r="X7" s="21" t="n">
        <f aca="false">MAX(0,(Annahmen!$B$28-X6)/Annahmen!$B$32)</f>
        <v>0.674368619417271</v>
      </c>
      <c r="Y7" s="21" t="n">
        <f aca="false">MAX(0,(Annahmen!$B$28-Y6)/Annahmen!$B$32)</f>
        <v>0.666380740523167</v>
      </c>
    </row>
    <row r="8" customFormat="false" ht="15" hidden="false" customHeight="false" outlineLevel="0" collapsed="false">
      <c r="A8" s="7" t="s">
        <v>114</v>
      </c>
      <c r="B8" s="20" t="n">
        <f aca="false">MIN(B5,B7)</f>
        <v>2</v>
      </c>
      <c r="C8" s="20" t="n">
        <f aca="false">MIN(C5,C7)</f>
        <v>2</v>
      </c>
      <c r="D8" s="20" t="n">
        <f aca="false">MIN(D5,D7)</f>
        <v>3</v>
      </c>
      <c r="E8" s="20" t="n">
        <f aca="false">MIN(E5,E7)</f>
        <v>3</v>
      </c>
      <c r="F8" s="20" t="n">
        <f aca="false">MIN(F5,F7)</f>
        <v>3</v>
      </c>
      <c r="G8" s="20" t="n">
        <f aca="false">MIN(G5,G7)</f>
        <v>2.57792539685353</v>
      </c>
      <c r="H8" s="20" t="n">
        <f aca="false">MIN(H5,H7)</f>
        <v>2.15845738533414</v>
      </c>
      <c r="I8" s="20" t="n">
        <f aca="false">MIN(I5,I7)</f>
        <v>1.83095048706595</v>
      </c>
      <c r="J8" s="20" t="n">
        <f aca="false">MIN(J5,J7)</f>
        <v>1.5751139771852</v>
      </c>
      <c r="K8" s="20" t="n">
        <f aca="false">MIN(K5,K7)</f>
        <v>1.37513918200564</v>
      </c>
      <c r="L8" s="20" t="n">
        <f aca="false">MIN(L5,L7)</f>
        <v>1.21870923167909</v>
      </c>
      <c r="M8" s="20" t="n">
        <f aca="false">MIN(M5,M7)</f>
        <v>1.0962276024812</v>
      </c>
      <c r="N8" s="20" t="n">
        <f aca="false">MIN(N5,N7)</f>
        <v>1.00021710803814</v>
      </c>
      <c r="O8" s="20" t="n">
        <f aca="false">MIN(O5,O7)</f>
        <v>0.924851679503338</v>
      </c>
      <c r="P8" s="20" t="n">
        <f aca="false">MIN(P5,P7)</f>
        <v>0.865591595526399</v>
      </c>
      <c r="Q8" s="20" t="n">
        <f aca="false">MIN(Q5,Q7)</f>
        <v>0.818899305232514</v>
      </c>
      <c r="R8" s="20" t="n">
        <f aca="false">MIN(R5,R7)</f>
        <v>0.782018037549345</v>
      </c>
      <c r="S8" s="20" t="n">
        <f aca="false">MIN(S5,S7)</f>
        <v>0.752799324532463</v>
      </c>
      <c r="T8" s="20" t="n">
        <f aca="false">MIN(T5,T7)</f>
        <v>0.729568631382115</v>
      </c>
      <c r="U8" s="20" t="n">
        <f aca="false">MIN(U5,U7)</f>
        <v>0.711020673676323</v>
      </c>
      <c r="V8" s="20" t="n">
        <f aca="false">MIN(V5,V7)</f>
        <v>0.696137862594906</v>
      </c>
      <c r="W8" s="20" t="n">
        <f aca="false">MIN(W5,W7)</f>
        <v>0.684126768143397</v>
      </c>
      <c r="X8" s="20" t="n">
        <f aca="false">MIN(X5,X7)</f>
        <v>0.674368619417271</v>
      </c>
      <c r="Y8" s="20" t="n">
        <f aca="false">MIN(Y5,Y7)</f>
        <v>0.666380740523167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115</v>
      </c>
      <c r="B10" s="21" t="n">
        <f aca="false">0*(1-Annahmen!$B$15)+B8*Annahmen!$B$11</f>
        <v>0.5</v>
      </c>
      <c r="C10" s="21" t="n">
        <f aca="false">B10*(1-Annahmen!$B$15)+C8*Annahmen!$B$11</f>
        <v>0.995</v>
      </c>
      <c r="D10" s="21" t="n">
        <f aca="false">C10*(1-Annahmen!$B$15)+D8*Annahmen!$B$11</f>
        <v>1.73505</v>
      </c>
      <c r="E10" s="21" t="n">
        <f aca="false">D10*(1-Annahmen!$B$15)+E8*Annahmen!$B$11</f>
        <v>2.4676995</v>
      </c>
      <c r="F10" s="21" t="n">
        <f aca="false">E10*(1-Annahmen!$B$15)+F8*Annahmen!$B$11</f>
        <v>3.193022505</v>
      </c>
      <c r="G10" s="21" t="n">
        <f aca="false">F10*(1-Annahmen!$B$15)+G8*Annahmen!$B$11</f>
        <v>3.80557362916338</v>
      </c>
      <c r="H10" s="21" t="n">
        <f aca="false">G10*(1-Annahmen!$B$15)+H8*Annahmen!$B$11</f>
        <v>4.30713223920528</v>
      </c>
      <c r="I10" s="21" t="n">
        <f aca="false">H10*(1-Annahmen!$B$15)+I8*Annahmen!$B$11</f>
        <v>4.72179853857972</v>
      </c>
      <c r="J10" s="21" t="n">
        <f aca="false">I10*(1-Annahmen!$B$15)+J8*Annahmen!$B$11</f>
        <v>5.06835904749022</v>
      </c>
      <c r="K10" s="21" t="n">
        <f aca="false">J10*(1-Annahmen!$B$15)+K8*Annahmen!$B$11</f>
        <v>5.36146025251673</v>
      </c>
      <c r="L10" s="21" t="n">
        <f aca="false">K10*(1-Annahmen!$B$15)+L8*Annahmen!$B$11</f>
        <v>5.61252295791133</v>
      </c>
      <c r="M10" s="21" t="n">
        <f aca="false">L10*(1-Annahmen!$B$15)+M8*Annahmen!$B$11</f>
        <v>5.83045462895252</v>
      </c>
      <c r="N10" s="21" t="n">
        <f aca="false">M10*(1-Annahmen!$B$15)+N8*Annahmen!$B$11</f>
        <v>6.02220435967253</v>
      </c>
      <c r="O10" s="21" t="n">
        <f aca="false">N10*(1-Annahmen!$B$15)+O8*Annahmen!$B$11</f>
        <v>6.19319523595164</v>
      </c>
      <c r="P10" s="21" t="n">
        <f aca="false">O10*(1-Annahmen!$B$15)+P8*Annahmen!$B$11</f>
        <v>6.34766118247372</v>
      </c>
      <c r="Q10" s="21" t="n">
        <f aca="false">P10*(1-Annahmen!$B$15)+Q8*Annahmen!$B$11</f>
        <v>6.48890939695712</v>
      </c>
      <c r="R10" s="21" t="n">
        <f aca="false">Q10*(1-Annahmen!$B$15)+R8*Annahmen!$B$11</f>
        <v>6.61952481237488</v>
      </c>
      <c r="S10" s="21" t="n">
        <f aca="false">R10*(1-Annahmen!$B$15)+S8*Annahmen!$B$11</f>
        <v>6.74152939538425</v>
      </c>
      <c r="T10" s="21" t="n">
        <f aca="false">S10*(1-Annahmen!$B$15)+T8*Annahmen!$B$11</f>
        <v>6.85650625927593</v>
      </c>
      <c r="U10" s="21" t="n">
        <f aca="false">T10*(1-Annahmen!$B$15)+U8*Annahmen!$B$11</f>
        <v>6.96569636510226</v>
      </c>
      <c r="V10" s="21" t="n">
        <f aca="false">U10*(1-Annahmen!$B$15)+V8*Annahmen!$B$11</f>
        <v>7.07007386709996</v>
      </c>
      <c r="W10" s="21" t="n">
        <f aca="false">V10*(1-Annahmen!$B$15)+W8*Annahmen!$B$11</f>
        <v>7.17040482046481</v>
      </c>
      <c r="X10" s="21" t="n">
        <f aca="false">W10*(1-Annahmen!$B$15)+X8*Annahmen!$B$11</f>
        <v>7.26729292711448</v>
      </c>
      <c r="Y10" s="21" t="n">
        <f aca="false">X10*(1-Annahmen!$B$15)+Y8*Annahmen!$B$11</f>
        <v>7.36121518297413</v>
      </c>
    </row>
    <row r="11" customFormat="false" ht="15" hidden="false" customHeight="false" outlineLevel="0" collapsed="false">
      <c r="A11" s="5" t="s">
        <v>116</v>
      </c>
      <c r="B11" s="21" t="n">
        <f aca="false">0*(1-Annahmen!$B$16)+B8*Annahmen!$B$12</f>
        <v>0.5</v>
      </c>
      <c r="C11" s="21" t="n">
        <f aca="false">B11*(1-Annahmen!$B$16)+C8*Annahmen!$B$12</f>
        <v>0.99</v>
      </c>
      <c r="D11" s="21" t="n">
        <f aca="false">C11*(1-Annahmen!$B$16)+D8*Annahmen!$B$12</f>
        <v>1.7202</v>
      </c>
      <c r="E11" s="21" t="n">
        <f aca="false">D11*(1-Annahmen!$B$16)+E8*Annahmen!$B$12</f>
        <v>2.435796</v>
      </c>
      <c r="F11" s="21" t="n">
        <f aca="false">E11*(1-Annahmen!$B$16)+F8*Annahmen!$B$12</f>
        <v>3.13708008</v>
      </c>
      <c r="G11" s="21" t="n">
        <f aca="false">F11*(1-Annahmen!$B$16)+G8*Annahmen!$B$12</f>
        <v>3.71881982761338</v>
      </c>
      <c r="H11" s="21" t="n">
        <f aca="false">G11*(1-Annahmen!$B$16)+H8*Annahmen!$B$12</f>
        <v>4.18405777739465</v>
      </c>
      <c r="I11" s="21" t="n">
        <f aca="false">H11*(1-Annahmen!$B$16)+I8*Annahmen!$B$12</f>
        <v>4.55811424361324</v>
      </c>
      <c r="J11" s="21" t="n">
        <f aca="false">I11*(1-Annahmen!$B$16)+J8*Annahmen!$B$12</f>
        <v>4.86073045303728</v>
      </c>
      <c r="K11" s="21" t="n">
        <f aca="false">J11*(1-Annahmen!$B$16)+K8*Annahmen!$B$12</f>
        <v>5.10730063947794</v>
      </c>
      <c r="L11" s="21" t="n">
        <f aca="false">K11*(1-Annahmen!$B$16)+L8*Annahmen!$B$12</f>
        <v>5.30983193460816</v>
      </c>
      <c r="M11" s="21" t="n">
        <f aca="false">L11*(1-Annahmen!$B$16)+M8*Annahmen!$B$12</f>
        <v>5.47769219653629</v>
      </c>
      <c r="N11" s="21" t="n">
        <f aca="false">M11*(1-Annahmen!$B$16)+N8*Annahmen!$B$12</f>
        <v>5.6181926296151</v>
      </c>
      <c r="O11" s="21" t="n">
        <f aca="false">N11*(1-Annahmen!$B$16)+O8*Annahmen!$B$12</f>
        <v>5.73704169689863</v>
      </c>
      <c r="P11" s="21" t="n">
        <f aca="false">O11*(1-Annahmen!$B$16)+P8*Annahmen!$B$12</f>
        <v>5.83869876184226</v>
      </c>
      <c r="Q11" s="21" t="n">
        <f aca="false">P11*(1-Annahmen!$B$16)+Q8*Annahmen!$B$12</f>
        <v>5.92664961291354</v>
      </c>
      <c r="R11" s="21" t="n">
        <f aca="false">Q11*(1-Annahmen!$B$16)+R8*Annahmen!$B$12</f>
        <v>6.00362113004261</v>
      </c>
      <c r="S11" s="21" t="n">
        <f aca="false">R11*(1-Annahmen!$B$16)+S8*Annahmen!$B$12</f>
        <v>6.07174853857487</v>
      </c>
      <c r="T11" s="21" t="n">
        <f aca="false">S11*(1-Annahmen!$B$16)+T8*Annahmen!$B$12</f>
        <v>6.1327057256489</v>
      </c>
      <c r="U11" s="21" t="n">
        <f aca="false">T11*(1-Annahmen!$B$16)+U8*Annahmen!$B$12</f>
        <v>6.18780677955501</v>
      </c>
      <c r="V11" s="21" t="n">
        <f aca="false">U11*(1-Annahmen!$B$16)+V8*Annahmen!$B$12</f>
        <v>6.23808510961263</v>
      </c>
      <c r="W11" s="21" t="n">
        <f aca="false">V11*(1-Annahmen!$B$16)+W8*Annahmen!$B$12</f>
        <v>6.28435509945623</v>
      </c>
      <c r="X11" s="21" t="n">
        <f aca="false">W11*(1-Annahmen!$B$16)+X8*Annahmen!$B$12</f>
        <v>6.32726015232142</v>
      </c>
      <c r="Y11" s="21" t="n">
        <f aca="false">X11*(1-Annahmen!$B$16)+Y8*Annahmen!$B$12</f>
        <v>6.36731013440579</v>
      </c>
    </row>
    <row r="12" customFormat="false" ht="15" hidden="false" customHeight="false" outlineLevel="0" collapsed="false">
      <c r="A12" s="5" t="s">
        <v>117</v>
      </c>
      <c r="B12" s="21" t="n">
        <f aca="false">0*(1-Annahmen!$B$17)+B8*Annahmen!$B$13</f>
        <v>0.5</v>
      </c>
      <c r="C12" s="21" t="n">
        <f aca="false">B12*(1-Annahmen!$B$17)+C8*Annahmen!$B$13</f>
        <v>0.985</v>
      </c>
      <c r="D12" s="21" t="n">
        <f aca="false">C12*(1-Annahmen!$B$17)+D8*Annahmen!$B$13</f>
        <v>1.70545</v>
      </c>
      <c r="E12" s="21" t="n">
        <f aca="false">D12*(1-Annahmen!$B$17)+E8*Annahmen!$B$13</f>
        <v>2.4042865</v>
      </c>
      <c r="F12" s="21" t="n">
        <f aca="false">E12*(1-Annahmen!$B$17)+F8*Annahmen!$B$13</f>
        <v>3.082157905</v>
      </c>
      <c r="G12" s="21" t="n">
        <f aca="false">F12*(1-Annahmen!$B$17)+G8*Annahmen!$B$13</f>
        <v>3.63417451706338</v>
      </c>
      <c r="H12" s="21" t="n">
        <f aca="false">G12*(1-Annahmen!$B$17)+H8*Annahmen!$B$13</f>
        <v>4.06476362788501</v>
      </c>
      <c r="I12" s="21" t="n">
        <f aca="false">H12*(1-Annahmen!$B$17)+I8*Annahmen!$B$13</f>
        <v>4.40055834081495</v>
      </c>
      <c r="J12" s="21" t="n">
        <f aca="false">I12*(1-Annahmen!$B$17)+J8*Annahmen!$B$13</f>
        <v>4.6623200848868</v>
      </c>
      <c r="K12" s="21" t="n">
        <f aca="false">J12*(1-Annahmen!$B$17)+K8*Annahmen!$B$13</f>
        <v>4.86623527784161</v>
      </c>
      <c r="L12" s="21" t="n">
        <f aca="false">K12*(1-Annahmen!$B$17)+L8*Annahmen!$B$13</f>
        <v>5.02492552742613</v>
      </c>
      <c r="M12" s="21" t="n">
        <f aca="false">L12*(1-Annahmen!$B$17)+M8*Annahmen!$B$13</f>
        <v>5.14823466222365</v>
      </c>
      <c r="N12" s="21" t="n">
        <f aca="false">M12*(1-Annahmen!$B$17)+N8*Annahmen!$B$13</f>
        <v>5.24384189936647</v>
      </c>
      <c r="O12" s="21" t="n">
        <f aca="false">N12*(1-Annahmen!$B$17)+O8*Annahmen!$B$13</f>
        <v>5.31773956226131</v>
      </c>
      <c r="P12" s="21" t="n">
        <f aca="false">O12*(1-Annahmen!$B$17)+P8*Annahmen!$B$13</f>
        <v>5.37460527427507</v>
      </c>
      <c r="Q12" s="21" t="n">
        <f aca="false">P12*(1-Annahmen!$B$17)+Q8*Annahmen!$B$13</f>
        <v>5.41809194235495</v>
      </c>
      <c r="R12" s="21" t="n">
        <f aca="false">Q12*(1-Annahmen!$B$17)+R8*Annahmen!$B$13</f>
        <v>5.45105369347164</v>
      </c>
      <c r="S12" s="21" t="n">
        <f aca="false">R12*(1-Annahmen!$B$17)+S8*Annahmen!$B$13</f>
        <v>5.47572191380061</v>
      </c>
      <c r="T12" s="21" t="n">
        <f aca="false">S12*(1-Annahmen!$B$17)+T8*Annahmen!$B$13</f>
        <v>5.49384241423212</v>
      </c>
      <c r="U12" s="21" t="n">
        <f aca="false">T12*(1-Annahmen!$B$17)+U8*Annahmen!$B$13</f>
        <v>5.50678231022423</v>
      </c>
      <c r="V12" s="21" t="n">
        <f aca="false">U12*(1-Annahmen!$B$17)+V8*Annahmen!$B$13</f>
        <v>5.51561330656623</v>
      </c>
      <c r="W12" s="21" t="n">
        <f aca="false">V12*(1-Annahmen!$B$17)+W8*Annahmen!$B$13</f>
        <v>5.52117659940509</v>
      </c>
      <c r="X12" s="21" t="n">
        <f aca="false">W12*(1-Annahmen!$B$17)+X8*Annahmen!$B$13</f>
        <v>5.52413345627726</v>
      </c>
      <c r="Y12" s="21" t="n">
        <f aca="false">X12*(1-Annahmen!$B$17)+Y8*Annahmen!$B$13</f>
        <v>5.52500463771973</v>
      </c>
    </row>
    <row r="13" customFormat="false" ht="15" hidden="false" customHeight="false" outlineLevel="0" collapsed="false">
      <c r="A13" s="5" t="s">
        <v>118</v>
      </c>
      <c r="B13" s="21" t="n">
        <f aca="false">0*(1-Annahmen!$B$18)+B8*Annahmen!$B$14</f>
        <v>0.5</v>
      </c>
      <c r="C13" s="21" t="n">
        <f aca="false">B13*(1-Annahmen!$B$18)+C8*Annahmen!$B$14</f>
        <v>0.975</v>
      </c>
      <c r="D13" s="21" t="n">
        <f aca="false">C13*(1-Annahmen!$B$18)+D8*Annahmen!$B$14</f>
        <v>1.67625</v>
      </c>
      <c r="E13" s="21" t="n">
        <f aca="false">D13*(1-Annahmen!$B$18)+E8*Annahmen!$B$14</f>
        <v>2.3424375</v>
      </c>
      <c r="F13" s="21" t="n">
        <f aca="false">E13*(1-Annahmen!$B$18)+F8*Annahmen!$B$14</f>
        <v>2.975315625</v>
      </c>
      <c r="G13" s="21" t="n">
        <f aca="false">F13*(1-Annahmen!$B$18)+G8*Annahmen!$B$14</f>
        <v>3.47103119296338</v>
      </c>
      <c r="H13" s="21" t="n">
        <f aca="false">G13*(1-Annahmen!$B$18)+H8*Annahmen!$B$14</f>
        <v>3.83709397964875</v>
      </c>
      <c r="I13" s="21" t="n">
        <f aca="false">H13*(1-Annahmen!$B$18)+I8*Annahmen!$B$14</f>
        <v>4.1029769024328</v>
      </c>
      <c r="J13" s="21" t="n">
        <f aca="false">I13*(1-Annahmen!$B$18)+J8*Annahmen!$B$14</f>
        <v>4.29160655160746</v>
      </c>
      <c r="K13" s="21" t="n">
        <f aca="false">J13*(1-Annahmen!$B$18)+K8*Annahmen!$B$14</f>
        <v>4.42081101952849</v>
      </c>
      <c r="L13" s="21" t="n">
        <f aca="false">K13*(1-Annahmen!$B$18)+L8*Annahmen!$B$14</f>
        <v>4.50444777647184</v>
      </c>
      <c r="M13" s="21" t="n">
        <f aca="false">L13*(1-Annahmen!$B$18)+M8*Annahmen!$B$14</f>
        <v>4.55328228826855</v>
      </c>
      <c r="N13" s="21" t="n">
        <f aca="false">M13*(1-Annahmen!$B$18)+N8*Annahmen!$B$14</f>
        <v>4.57567245086466</v>
      </c>
      <c r="O13" s="21" t="n">
        <f aca="false">N13*(1-Annahmen!$B$18)+O8*Annahmen!$B$14</f>
        <v>4.57810174819726</v>
      </c>
      <c r="P13" s="21" t="n">
        <f aca="false">O13*(1-Annahmen!$B$18)+P8*Annahmen!$B$14</f>
        <v>4.565594559669</v>
      </c>
      <c r="Q13" s="21" t="n">
        <f aca="false">P13*(1-Annahmen!$B$18)+Q8*Annahmen!$B$14</f>
        <v>4.54203965799367</v>
      </c>
      <c r="R13" s="21" t="n">
        <f aca="false">Q13*(1-Annahmen!$B$18)+R8*Annahmen!$B$14</f>
        <v>4.51044218448133</v>
      </c>
      <c r="S13" s="21" t="n">
        <f aca="false">R13*(1-Annahmen!$B$18)+S8*Annahmen!$B$14</f>
        <v>4.47311990639038</v>
      </c>
      <c r="T13" s="21" t="n">
        <f aca="false">S13*(1-Annahmen!$B$18)+T8*Annahmen!$B$14</f>
        <v>4.43185606891638</v>
      </c>
      <c r="U13" s="21" t="n">
        <f aca="false">T13*(1-Annahmen!$B$18)+U8*Annahmen!$B$14</f>
        <v>4.38801843388965</v>
      </c>
      <c r="V13" s="21" t="n">
        <f aca="false">U13*(1-Annahmen!$B$18)+V8*Annahmen!$B$14</f>
        <v>4.34265197784389</v>
      </c>
      <c r="W13" s="21" t="n">
        <f aca="false">V13*(1-Annahmen!$B$18)+W8*Annahmen!$B$14</f>
        <v>4.29655107098754</v>
      </c>
      <c r="X13" s="21" t="n">
        <f aca="false">W13*(1-Annahmen!$B$18)+X8*Annahmen!$B$14</f>
        <v>4.25031567229248</v>
      </c>
      <c r="Y13" s="21" t="n">
        <f aca="false">X13*(1-Annahmen!$B$18)+Y8*Annahmen!$B$14</f>
        <v>4.20439507380865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119</v>
      </c>
      <c r="B15" s="23" t="n">
        <f aca="false">B10*Annahmen!$B$6+B11*Annahmen!$B$7+B12*Annahmen!$B$8+B13*Annahmen!$B$9</f>
        <v>1284.5</v>
      </c>
      <c r="C15" s="23" t="n">
        <f aca="false">C10*Annahmen!$B$6+C11*Annahmen!$B$7+C12*Annahmen!$B$8+C13*Annahmen!$B$9</f>
        <v>2529.205</v>
      </c>
      <c r="D15" s="23" t="n">
        <f aca="false">D10*Annahmen!$B$6+D11*Annahmen!$B$7+D12*Annahmen!$B$8+D13*Annahmen!$B$9</f>
        <v>4377.82795</v>
      </c>
      <c r="E15" s="23" t="n">
        <f aca="false">E10*Annahmen!$B$6+E11*Annahmen!$B$7+E12*Annahmen!$B$8+E13*Annahmen!$B$9</f>
        <v>6169.6231105</v>
      </c>
      <c r="F15" s="23" t="n">
        <f aca="false">F10*Annahmen!$B$6+F11*Annahmen!$B$7+F12*Annahmen!$B$8+F13*Annahmen!$B$9</f>
        <v>7906.665302395</v>
      </c>
      <c r="G15" s="23" t="n">
        <f aca="false">G10*Annahmen!$B$6+G11*Annahmen!$B$7+G12*Annahmen!$B$8+G13*Annahmen!$B$9</f>
        <v>9319.86556658623</v>
      </c>
      <c r="H15" s="23" t="n">
        <f aca="false">H10*Annahmen!$B$6+H11*Annahmen!$B$7+H12*Annahmen!$B$8+H13*Annahmen!$B$9</f>
        <v>10421.2022100275</v>
      </c>
      <c r="I15" s="23" t="n">
        <f aca="false">I10*Annahmen!$B$6+I11*Annahmen!$B$7+I12*Annahmen!$B$8+I13*Annahmen!$B$9</f>
        <v>11279.6021392074</v>
      </c>
      <c r="J15" s="23" t="n">
        <f aca="false">J10*Annahmen!$B$6+J11*Annahmen!$B$7+J12*Annahmen!$B$8+J13*Annahmen!$B$9</f>
        <v>11948.7616333022</v>
      </c>
      <c r="K15" s="23" t="n">
        <f aca="false">K10*Annahmen!$B$6+K11*Annahmen!$B$7+K12*Annahmen!$B$8+K13*Annahmen!$B$9</f>
        <v>12470.5115683076</v>
      </c>
      <c r="L15" s="23" t="n">
        <f aca="false">L10*Annahmen!$B$6+L11*Annahmen!$B$7+L12*Annahmen!$B$8+L13*Annahmen!$B$9</f>
        <v>12877.4391039539</v>
      </c>
      <c r="M15" s="23" t="n">
        <f aca="false">M10*Annahmen!$B$6+M11*Annahmen!$B$7+M12*Annahmen!$B$8+M13*Annahmen!$B$9</f>
        <v>13194.9301153644</v>
      </c>
      <c r="N15" s="23" t="n">
        <f aca="false">N10*Annahmen!$B$6+N11*Annahmen!$B$7+N12*Annahmen!$B$8+N13*Annahmen!$B$9</f>
        <v>13442.760353913</v>
      </c>
      <c r="O15" s="23" t="n">
        <f aca="false">O10*Annahmen!$B$6+O11*Annahmen!$B$7+O12*Annahmen!$B$8+O13*Annahmen!$B$9</f>
        <v>13636.3350440418</v>
      </c>
      <c r="P15" s="23" t="n">
        <f aca="false">P10*Annahmen!$B$6+P11*Annahmen!$B$7+P12*Annahmen!$B$8+P13*Annahmen!$B$9</f>
        <v>13787.6545929445</v>
      </c>
      <c r="Q15" s="23" t="n">
        <f aca="false">Q10*Annahmen!$B$6+Q11*Annahmen!$B$7+Q12*Annahmen!$B$8+Q13*Annahmen!$B$9</f>
        <v>13906.0669275967</v>
      </c>
      <c r="R15" s="23" t="n">
        <f aca="false">R10*Annahmen!$B$6+R11*Annahmen!$B$7+R12*Annahmen!$B$8+R13*Annahmen!$B$9</f>
        <v>13998.8536031501</v>
      </c>
      <c r="S15" s="23" t="n">
        <f aca="false">S10*Annahmen!$B$6+S11*Annahmen!$B$7+S12*Annahmen!$B$8+S13*Annahmen!$B$9</f>
        <v>14071.6864104103</v>
      </c>
      <c r="T15" s="23" t="n">
        <f aca="false">T10*Annahmen!$B$6+T11*Annahmen!$B$7+T12*Annahmen!$B$8+T13*Annahmen!$B$9</f>
        <v>14128.9830952569</v>
      </c>
      <c r="U15" s="23" t="n">
        <f aca="false">U10*Annahmen!$B$6+U11*Annahmen!$B$7+U12*Annahmen!$B$8+U13*Annahmen!$B$9</f>
        <v>14174.1844809519</v>
      </c>
      <c r="V15" s="23" t="n">
        <f aca="false">V10*Annahmen!$B$6+V11*Annahmen!$B$7+V12*Annahmen!$B$8+V13*Annahmen!$B$9</f>
        <v>14209.97035918</v>
      </c>
      <c r="W15" s="23" t="n">
        <f aca="false">W10*Annahmen!$B$6+W11*Annahmen!$B$7+W12*Annahmen!$B$8+W13*Annahmen!$B$9</f>
        <v>14238.4276787358</v>
      </c>
      <c r="X15" s="23" t="n">
        <f aca="false">X10*Annahmen!$B$6+X11*Annahmen!$B$7+X12*Annahmen!$B$8+X13*Annahmen!$B$9</f>
        <v>14261.1815716086</v>
      </c>
      <c r="Y15" s="23" t="n">
        <f aca="false">Y10*Annahmen!$B$6+Y11*Annahmen!$B$7+Y12*Annahmen!$B$8+Y13*Annahmen!$B$9</f>
        <v>14279.4974274912</v>
      </c>
    </row>
    <row r="16" customFormat="false" ht="15" hidden="false" customHeight="false" outlineLevel="0" collapsed="false">
      <c r="A16" s="5" t="s">
        <v>120</v>
      </c>
      <c r="B16" s="24" t="n">
        <f aca="false">B8*Annahmen!$B$11*Annahmen!$B$5+B8*Annahmen!$B$14*Annahmen!$B$10</f>
        <v>1845</v>
      </c>
      <c r="C16" s="24" t="n">
        <f aca="false">C8*Annahmen!$B$11*Annahmen!$B$5+C8*Annahmen!$B$14*Annahmen!$B$10</f>
        <v>1845</v>
      </c>
      <c r="D16" s="24" t="n">
        <f aca="false">D8*Annahmen!$B$11*Annahmen!$B$5+D8*Annahmen!$B$14*Annahmen!$B$10</f>
        <v>2767.5</v>
      </c>
      <c r="E16" s="24" t="n">
        <f aca="false">E8*Annahmen!$B$11*Annahmen!$B$5+E8*Annahmen!$B$14*Annahmen!$B$10</f>
        <v>2767.5</v>
      </c>
      <c r="F16" s="24" t="n">
        <f aca="false">F8*Annahmen!$B$11*Annahmen!$B$5+F8*Annahmen!$B$14*Annahmen!$B$10</f>
        <v>2767.5</v>
      </c>
      <c r="G16" s="24" t="n">
        <f aca="false">G8*Annahmen!$B$11*Annahmen!$B$5+G8*Annahmen!$B$14*Annahmen!$B$10</f>
        <v>2378.13617859738</v>
      </c>
      <c r="H16" s="24" t="n">
        <f aca="false">H8*Annahmen!$B$11*Annahmen!$B$5+H8*Annahmen!$B$14*Annahmen!$B$10</f>
        <v>1991.17693797074</v>
      </c>
      <c r="I16" s="24" t="n">
        <f aca="false">I8*Annahmen!$B$11*Annahmen!$B$5+I8*Annahmen!$B$14*Annahmen!$B$10</f>
        <v>1689.05182431834</v>
      </c>
      <c r="J16" s="24" t="n">
        <f aca="false">J8*Annahmen!$B$11*Annahmen!$B$5+J8*Annahmen!$B$14*Annahmen!$B$10</f>
        <v>1453.04264395335</v>
      </c>
      <c r="K16" s="24" t="n">
        <f aca="false">K8*Annahmen!$B$11*Annahmen!$B$5+K8*Annahmen!$B$14*Annahmen!$B$10</f>
        <v>1268.5658954002</v>
      </c>
      <c r="L16" s="24" t="n">
        <f aca="false">L8*Annahmen!$B$11*Annahmen!$B$5+L8*Annahmen!$B$14*Annahmen!$B$10</f>
        <v>1124.25926622396</v>
      </c>
      <c r="M16" s="24" t="n">
        <f aca="false">M8*Annahmen!$B$11*Annahmen!$B$5+M8*Annahmen!$B$14*Annahmen!$B$10</f>
        <v>1011.26996328891</v>
      </c>
      <c r="N16" s="24" t="n">
        <f aca="false">N8*Annahmen!$B$11*Annahmen!$B$5+N8*Annahmen!$B$14*Annahmen!$B$10</f>
        <v>922.700282165187</v>
      </c>
      <c r="O16" s="24" t="n">
        <f aca="false">O8*Annahmen!$B$11*Annahmen!$B$5+O8*Annahmen!$B$14*Annahmen!$B$10</f>
        <v>853.175674341829</v>
      </c>
      <c r="P16" s="24" t="n">
        <f aca="false">P8*Annahmen!$B$11*Annahmen!$B$5+P8*Annahmen!$B$14*Annahmen!$B$10</f>
        <v>798.508246873103</v>
      </c>
      <c r="Q16" s="24" t="n">
        <f aca="false">Q8*Annahmen!$B$11*Annahmen!$B$5+Q8*Annahmen!$B$14*Annahmen!$B$10</f>
        <v>755.434609076994</v>
      </c>
      <c r="R16" s="24" t="n">
        <f aca="false">R8*Annahmen!$B$11*Annahmen!$B$5+R8*Annahmen!$B$14*Annahmen!$B$10</f>
        <v>721.411639639271</v>
      </c>
      <c r="S16" s="24" t="n">
        <f aca="false">S8*Annahmen!$B$11*Annahmen!$B$5+S8*Annahmen!$B$14*Annahmen!$B$10</f>
        <v>694.457376881197</v>
      </c>
      <c r="T16" s="24" t="n">
        <f aca="false">T8*Annahmen!$B$11*Annahmen!$B$5+T8*Annahmen!$B$14*Annahmen!$B$10</f>
        <v>673.027062450001</v>
      </c>
      <c r="U16" s="24" t="n">
        <f aca="false">U8*Annahmen!$B$11*Annahmen!$B$5+U8*Annahmen!$B$14*Annahmen!$B$10</f>
        <v>655.916571466408</v>
      </c>
      <c r="V16" s="24" t="n">
        <f aca="false">V8*Annahmen!$B$11*Annahmen!$B$5+V8*Annahmen!$B$14*Annahmen!$B$10</f>
        <v>642.187178243801</v>
      </c>
      <c r="W16" s="24" t="n">
        <f aca="false">W8*Annahmen!$B$11*Annahmen!$B$5+W8*Annahmen!$B$14*Annahmen!$B$10</f>
        <v>631.106943612284</v>
      </c>
      <c r="X16" s="24" t="n">
        <f aca="false">X8*Annahmen!$B$11*Annahmen!$B$5+X8*Annahmen!$B$14*Annahmen!$B$10</f>
        <v>622.105051412433</v>
      </c>
      <c r="Y16" s="24" t="n">
        <f aca="false">Y8*Annahmen!$B$11*Annahmen!$B$5+Y8*Annahmen!$B$14*Annahmen!$B$10</f>
        <v>614.736233132622</v>
      </c>
    </row>
    <row r="17" customFormat="false" ht="15" hidden="false" customHeight="false" outlineLevel="0" collapsed="false">
      <c r="A17" s="7" t="s">
        <v>121</v>
      </c>
      <c r="B17" s="23" t="n">
        <f aca="false">B15+B16</f>
        <v>3129.5</v>
      </c>
      <c r="C17" s="23" t="n">
        <f aca="false">C15+C16</f>
        <v>4374.205</v>
      </c>
      <c r="D17" s="23" t="n">
        <f aca="false">D15+D16</f>
        <v>7145.32795</v>
      </c>
      <c r="E17" s="23" t="n">
        <f aca="false">E15+E16</f>
        <v>8937.1231105</v>
      </c>
      <c r="F17" s="23" t="n">
        <f aca="false">F15+F16</f>
        <v>10674.165302395</v>
      </c>
      <c r="G17" s="23" t="n">
        <f aca="false">G15+G16</f>
        <v>11698.0017451836</v>
      </c>
      <c r="H17" s="23" t="n">
        <f aca="false">H15+H16</f>
        <v>12412.3791479983</v>
      </c>
      <c r="I17" s="23" t="n">
        <f aca="false">I15+I16</f>
        <v>12968.6539635258</v>
      </c>
      <c r="J17" s="23" t="n">
        <f aca="false">J15+J16</f>
        <v>13401.8042772556</v>
      </c>
      <c r="K17" s="23" t="n">
        <f aca="false">K15+K16</f>
        <v>13739.0774637078</v>
      </c>
      <c r="L17" s="23" t="n">
        <f aca="false">L15+L16</f>
        <v>14001.6983701779</v>
      </c>
      <c r="M17" s="23" t="n">
        <f aca="false">M15+M16</f>
        <v>14206.2000786533</v>
      </c>
      <c r="N17" s="23" t="n">
        <f aca="false">N15+N16</f>
        <v>14365.4606360782</v>
      </c>
      <c r="O17" s="23" t="n">
        <f aca="false">O15+O16</f>
        <v>14489.5107183836</v>
      </c>
      <c r="P17" s="23" t="n">
        <f aca="false">P15+P16</f>
        <v>14586.1628398176</v>
      </c>
      <c r="Q17" s="23" t="n">
        <f aca="false">Q15+Q16</f>
        <v>14661.5015366737</v>
      </c>
      <c r="R17" s="23" t="n">
        <f aca="false">R15+R16</f>
        <v>14720.2652427893</v>
      </c>
      <c r="S17" s="23" t="n">
        <f aca="false">S15+S16</f>
        <v>14766.1437872915</v>
      </c>
      <c r="T17" s="23" t="n">
        <f aca="false">T15+T16</f>
        <v>14802.0101577069</v>
      </c>
      <c r="U17" s="23" t="n">
        <f aca="false">U15+U16</f>
        <v>14830.1010524183</v>
      </c>
      <c r="V17" s="23" t="n">
        <f aca="false">V15+V16</f>
        <v>14852.1575374238</v>
      </c>
      <c r="W17" s="23" t="n">
        <f aca="false">W15+W16</f>
        <v>14869.5346223481</v>
      </c>
      <c r="X17" s="23" t="n">
        <f aca="false">X15+X16</f>
        <v>14883.2866230211</v>
      </c>
      <c r="Y17" s="23" t="n">
        <f aca="false">Y15+Y16</f>
        <v>14894.2336606238</v>
      </c>
    </row>
    <row r="18" customFormat="false" ht="15" hidden="false" customHeight="false" outlineLevel="0" collapsed="false">
      <c r="A18" s="5" t="s">
        <v>122</v>
      </c>
      <c r="B18" s="24" t="n">
        <f aca="false">Annahmen!$B$29+Annahmen!$B$30</f>
        <v>355</v>
      </c>
      <c r="C18" s="24" t="n">
        <f aca="false">Annahmen!$B$29+Annahmen!$B$30</f>
        <v>355</v>
      </c>
      <c r="D18" s="24" t="n">
        <f aca="false">Annahmen!$B$29+Annahmen!$B$30</f>
        <v>355</v>
      </c>
      <c r="E18" s="24" t="n">
        <f aca="false">Annahmen!$B$29+Annahmen!$B$30</f>
        <v>355</v>
      </c>
      <c r="F18" s="24" t="n">
        <f aca="false">Annahmen!$B$29+Annahmen!$B$30</f>
        <v>355</v>
      </c>
      <c r="G18" s="24" t="n">
        <f aca="false">Annahmen!$B$29+Annahmen!$B$30</f>
        <v>355</v>
      </c>
      <c r="H18" s="24" t="n">
        <f aca="false">Annahmen!$B$29+Annahmen!$B$30</f>
        <v>355</v>
      </c>
      <c r="I18" s="24" t="n">
        <f aca="false">Annahmen!$B$29+Annahmen!$B$30</f>
        <v>355</v>
      </c>
      <c r="J18" s="24" t="n">
        <f aca="false">Annahmen!$B$29+Annahmen!$B$30</f>
        <v>355</v>
      </c>
      <c r="K18" s="24" t="n">
        <f aca="false">Annahmen!$B$29+Annahmen!$B$30</f>
        <v>355</v>
      </c>
      <c r="L18" s="24" t="n">
        <f aca="false">Annahmen!$B$29+Annahmen!$B$30</f>
        <v>355</v>
      </c>
      <c r="M18" s="24" t="n">
        <f aca="false">Annahmen!$B$29+Annahmen!$B$30</f>
        <v>355</v>
      </c>
      <c r="N18" s="24" t="n">
        <f aca="false">Annahmen!$B$29+Annahmen!$B$30</f>
        <v>355</v>
      </c>
      <c r="O18" s="24" t="n">
        <f aca="false">Annahmen!$B$29+Annahmen!$B$30</f>
        <v>355</v>
      </c>
      <c r="P18" s="24" t="n">
        <f aca="false">Annahmen!$B$29+Annahmen!$B$30</f>
        <v>355</v>
      </c>
      <c r="Q18" s="24" t="n">
        <f aca="false">Annahmen!$B$29+Annahmen!$B$30</f>
        <v>355</v>
      </c>
      <c r="R18" s="24" t="n">
        <f aca="false">Annahmen!$B$29+Annahmen!$B$30</f>
        <v>355</v>
      </c>
      <c r="S18" s="24" t="n">
        <f aca="false">Annahmen!$B$29+Annahmen!$B$30</f>
        <v>355</v>
      </c>
      <c r="T18" s="24" t="n">
        <f aca="false">Annahmen!$B$29+Annahmen!$B$30</f>
        <v>355</v>
      </c>
      <c r="U18" s="24" t="n">
        <f aca="false">Annahmen!$B$29+Annahmen!$B$30</f>
        <v>355</v>
      </c>
      <c r="V18" s="24" t="n">
        <f aca="false">Annahmen!$B$29+Annahmen!$B$30</f>
        <v>355</v>
      </c>
      <c r="W18" s="24" t="n">
        <f aca="false">Annahmen!$B$29+Annahmen!$B$30</f>
        <v>355</v>
      </c>
      <c r="X18" s="24" t="n">
        <f aca="false">Annahmen!$B$29+Annahmen!$B$30</f>
        <v>355</v>
      </c>
      <c r="Y18" s="24" t="n">
        <f aca="false">Annahmen!$B$29+Annahmen!$B$30</f>
        <v>355</v>
      </c>
    </row>
    <row r="19" customFormat="false" ht="15" hidden="false" customHeight="false" outlineLevel="0" collapsed="false">
      <c r="A19" s="7" t="s">
        <v>123</v>
      </c>
      <c r="B19" s="23" t="n">
        <f aca="false">B17-B18</f>
        <v>2774.5</v>
      </c>
      <c r="C19" s="23" t="n">
        <f aca="false">C17-C18</f>
        <v>4019.205</v>
      </c>
      <c r="D19" s="23" t="n">
        <f aca="false">D17-D18</f>
        <v>6790.32795</v>
      </c>
      <c r="E19" s="23" t="n">
        <f aca="false">E17-E18</f>
        <v>8582.1231105</v>
      </c>
      <c r="F19" s="23" t="n">
        <f aca="false">F17-F18</f>
        <v>10319.165302395</v>
      </c>
      <c r="G19" s="23" t="n">
        <f aca="false">G17-G18</f>
        <v>11343.0017451836</v>
      </c>
      <c r="H19" s="23" t="n">
        <f aca="false">H17-H18</f>
        <v>12057.3791479983</v>
      </c>
      <c r="I19" s="23" t="n">
        <f aca="false">I17-I18</f>
        <v>12613.6539635258</v>
      </c>
      <c r="J19" s="23" t="n">
        <f aca="false">J17-J18</f>
        <v>13046.8042772556</v>
      </c>
      <c r="K19" s="23" t="n">
        <f aca="false">K17-K18</f>
        <v>13384.0774637078</v>
      </c>
      <c r="L19" s="23" t="n">
        <f aca="false">L17-L18</f>
        <v>13646.6983701779</v>
      </c>
      <c r="M19" s="23" t="n">
        <f aca="false">M17-M18</f>
        <v>13851.2000786533</v>
      </c>
      <c r="N19" s="23" t="n">
        <f aca="false">N17-N18</f>
        <v>14010.4606360782</v>
      </c>
      <c r="O19" s="23" t="n">
        <f aca="false">O17-O18</f>
        <v>14134.5107183836</v>
      </c>
      <c r="P19" s="23" t="n">
        <f aca="false">P17-P18</f>
        <v>14231.1628398176</v>
      </c>
      <c r="Q19" s="23" t="n">
        <f aca="false">Q17-Q18</f>
        <v>14306.5015366737</v>
      </c>
      <c r="R19" s="23" t="n">
        <f aca="false">R17-R18</f>
        <v>14365.2652427893</v>
      </c>
      <c r="S19" s="23" t="n">
        <f aca="false">S17-S18</f>
        <v>14411.1437872915</v>
      </c>
      <c r="T19" s="23" t="n">
        <f aca="false">T17-T18</f>
        <v>14447.0101577069</v>
      </c>
      <c r="U19" s="23" t="n">
        <f aca="false">U17-U18</f>
        <v>14475.1010524183</v>
      </c>
      <c r="V19" s="23" t="n">
        <f aca="false">V17-V18</f>
        <v>14497.1575374238</v>
      </c>
      <c r="W19" s="23" t="n">
        <f aca="false">W17-W18</f>
        <v>14514.5346223481</v>
      </c>
      <c r="X19" s="23" t="n">
        <f aca="false">X17-X18</f>
        <v>14528.2866230211</v>
      </c>
      <c r="Y19" s="23" t="n">
        <f aca="false">Y17-Y18</f>
        <v>14539.2336606238</v>
      </c>
    </row>
    <row r="20" customFormat="false" ht="15" hidden="false" customHeight="false" outlineLevel="0" collapsed="false">
      <c r="A20" s="7" t="s">
        <v>124</v>
      </c>
      <c r="B20" s="16" t="n">
        <f aca="false">B19</f>
        <v>2774.5</v>
      </c>
      <c r="C20" s="16" t="n">
        <f aca="false">B20+C19</f>
        <v>6793.705</v>
      </c>
      <c r="D20" s="16" t="n">
        <f aca="false">C20+D19</f>
        <v>13584.03295</v>
      </c>
      <c r="E20" s="16" t="n">
        <f aca="false">D20+E19</f>
        <v>22166.1560605</v>
      </c>
      <c r="F20" s="16" t="n">
        <f aca="false">E20+F19</f>
        <v>32485.321362895</v>
      </c>
      <c r="G20" s="16" t="n">
        <f aca="false">F20+G19</f>
        <v>43828.3231080786</v>
      </c>
      <c r="H20" s="16" t="n">
        <f aca="false">G20+H19</f>
        <v>55885.7022560769</v>
      </c>
      <c r="I20" s="16" t="n">
        <f aca="false">H20+I19</f>
        <v>68499.3562196027</v>
      </c>
      <c r="J20" s="16" t="n">
        <f aca="false">I20+J19</f>
        <v>81546.1604968582</v>
      </c>
      <c r="K20" s="16" t="n">
        <f aca="false">J20+K19</f>
        <v>94930.237960566</v>
      </c>
      <c r="L20" s="16" t="n">
        <f aca="false">K20+L19</f>
        <v>108576.936330744</v>
      </c>
      <c r="M20" s="16" t="n">
        <f aca="false">L20+M19</f>
        <v>122428.136409397</v>
      </c>
      <c r="N20" s="16" t="n">
        <f aca="false">M20+N19</f>
        <v>136438.597045475</v>
      </c>
      <c r="O20" s="16" t="n">
        <f aca="false">N20+O19</f>
        <v>150573.107763859</v>
      </c>
      <c r="P20" s="16" t="n">
        <f aca="false">O20+P19</f>
        <v>164804.270603677</v>
      </c>
      <c r="Q20" s="16" t="n">
        <f aca="false">P20+Q19</f>
        <v>179110.77214035</v>
      </c>
      <c r="R20" s="16" t="n">
        <f aca="false">Q20+R19</f>
        <v>193476.03738314</v>
      </c>
      <c r="S20" s="16" t="n">
        <f aca="false">R20+S19</f>
        <v>207887.181170431</v>
      </c>
      <c r="T20" s="16" t="n">
        <f aca="false">S20+T19</f>
        <v>222334.191328138</v>
      </c>
      <c r="U20" s="16" t="n">
        <f aca="false">T20+U19</f>
        <v>236809.292380556</v>
      </c>
      <c r="V20" s="16" t="n">
        <f aca="false">U20+V19</f>
        <v>251306.44991798</v>
      </c>
      <c r="W20" s="16" t="n">
        <f aca="false">V20+W19</f>
        <v>265820.984540328</v>
      </c>
      <c r="X20" s="16" t="n">
        <f aca="false">W20+X19</f>
        <v>280349.271163349</v>
      </c>
      <c r="Y20" s="16" t="n">
        <f aca="false">X20+Y19</f>
        <v>294888.504823973</v>
      </c>
    </row>
    <row r="21" customFormat="false" ht="15" hidden="false" customHeight="false" outlineLevel="0" collapsed="false">
      <c r="A21" s="5" t="s">
        <v>125</v>
      </c>
      <c r="B21" s="21" t="n">
        <f aca="false">B6+B8*Annahmen!$B$32</f>
        <v>69.125</v>
      </c>
      <c r="C21" s="21" t="n">
        <f aca="false">C6+C8*Annahmen!$B$32</f>
        <v>82.25</v>
      </c>
      <c r="D21" s="21" t="n">
        <f aca="false">D6+D8*Annahmen!$B$32</f>
        <v>129.54125</v>
      </c>
      <c r="E21" s="21" t="n">
        <f aca="false">E6+E8*Annahmen!$B$32</f>
        <v>148.4503125</v>
      </c>
      <c r="F21" s="21" t="n">
        <f aca="false">F6+F8*Annahmen!$B$32</f>
        <v>166.792554375</v>
      </c>
      <c r="G21" s="21" t="n">
        <f aca="false">G6+G8*Annahmen!$B$32</f>
        <v>170</v>
      </c>
      <c r="H21" s="21" t="n">
        <f aca="false">H6+H8*Annahmen!$B$32</f>
        <v>170</v>
      </c>
      <c r="I21" s="21" t="n">
        <f aca="false">I6+I8*Annahmen!$B$32</f>
        <v>170</v>
      </c>
      <c r="J21" s="21" t="n">
        <f aca="false">J6+J8*Annahmen!$B$32</f>
        <v>170</v>
      </c>
      <c r="K21" s="21" t="n">
        <f aca="false">K6+K8*Annahmen!$B$32</f>
        <v>170</v>
      </c>
      <c r="L21" s="21" t="n">
        <f aca="false">L6+L8*Annahmen!$B$32</f>
        <v>170</v>
      </c>
      <c r="M21" s="21" t="n">
        <f aca="false">M6+M8*Annahmen!$B$32</f>
        <v>170</v>
      </c>
      <c r="N21" s="21" t="n">
        <f aca="false">N6+N8*Annahmen!$B$32</f>
        <v>170</v>
      </c>
      <c r="O21" s="21" t="n">
        <f aca="false">O6+O8*Annahmen!$B$32</f>
        <v>170</v>
      </c>
      <c r="P21" s="21" t="n">
        <f aca="false">P6+P8*Annahmen!$B$32</f>
        <v>170</v>
      </c>
      <c r="Q21" s="21" t="n">
        <f aca="false">Q6+Q8*Annahmen!$B$32</f>
        <v>170</v>
      </c>
      <c r="R21" s="21" t="n">
        <f aca="false">R6+R8*Annahmen!$B$32</f>
        <v>170</v>
      </c>
      <c r="S21" s="21" t="n">
        <f aca="false">S6+S8*Annahmen!$B$32</f>
        <v>170</v>
      </c>
      <c r="T21" s="21" t="n">
        <f aca="false">T6+T8*Annahmen!$B$32</f>
        <v>170</v>
      </c>
      <c r="U21" s="21" t="n">
        <f aca="false">U6+U8*Annahmen!$B$32</f>
        <v>170</v>
      </c>
      <c r="V21" s="21" t="n">
        <f aca="false">V6+V8*Annahmen!$B$32</f>
        <v>170</v>
      </c>
      <c r="W21" s="21" t="n">
        <f aca="false">W6+W8*Annahmen!$B$32</f>
        <v>170</v>
      </c>
      <c r="X21" s="21" t="n">
        <f aca="false">X6+X8*Annahmen!$B$32</f>
        <v>170</v>
      </c>
      <c r="Y21" s="21" t="n">
        <f aca="false">Y6+Y8*Annahmen!$B$32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110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111</v>
      </c>
      <c r="B5" s="21" t="n">
        <f aca="false">Annahmen!$D$35</f>
        <v>3</v>
      </c>
      <c r="C5" s="21" t="n">
        <f aca="false">Annahmen!$D$35</f>
        <v>3</v>
      </c>
      <c r="D5" s="21" t="n">
        <f aca="false">Annahmen!$D$36</f>
        <v>4</v>
      </c>
      <c r="E5" s="21" t="n">
        <f aca="false">Annahmen!$D$36</f>
        <v>4</v>
      </c>
      <c r="F5" s="21" t="n">
        <f aca="false">Annahmen!$D$36</f>
        <v>4</v>
      </c>
      <c r="G5" s="21" t="n">
        <f aca="false">Annahmen!$D$36</f>
        <v>4</v>
      </c>
      <c r="H5" s="21" t="n">
        <f aca="false">Annahmen!$D$36</f>
        <v>4</v>
      </c>
      <c r="I5" s="21" t="n">
        <f aca="false">Annahmen!$D$36</f>
        <v>4</v>
      </c>
      <c r="J5" s="21" t="n">
        <f aca="false">Annahmen!$D$36</f>
        <v>4</v>
      </c>
      <c r="K5" s="21" t="n">
        <f aca="false">Annahmen!$D$36</f>
        <v>4</v>
      </c>
      <c r="L5" s="21" t="n">
        <f aca="false">Annahmen!$D$36</f>
        <v>4</v>
      </c>
      <c r="M5" s="21" t="n">
        <f aca="false">Annahmen!$D$36</f>
        <v>4</v>
      </c>
      <c r="N5" s="21" t="n">
        <f aca="false">Annahmen!$D$36</f>
        <v>4</v>
      </c>
      <c r="O5" s="21" t="n">
        <f aca="false">Annahmen!$D$36</f>
        <v>4</v>
      </c>
      <c r="P5" s="21" t="n">
        <f aca="false">Annahmen!$D$36</f>
        <v>4</v>
      </c>
      <c r="Q5" s="21" t="n">
        <f aca="false">Annahmen!$D$36</f>
        <v>4</v>
      </c>
      <c r="R5" s="21" t="n">
        <f aca="false">Annahmen!$D$36</f>
        <v>4</v>
      </c>
      <c r="S5" s="21" t="n">
        <f aca="false">Annahmen!$D$36</f>
        <v>4</v>
      </c>
      <c r="T5" s="21" t="n">
        <f aca="false">Annahmen!$D$36</f>
        <v>4</v>
      </c>
      <c r="U5" s="21" t="n">
        <f aca="false">Annahmen!$D$36</f>
        <v>4</v>
      </c>
      <c r="V5" s="21" t="n">
        <f aca="false">Annahmen!$D$36</f>
        <v>4</v>
      </c>
      <c r="W5" s="21" t="n">
        <f aca="false">Annahmen!$D$36</f>
        <v>4</v>
      </c>
      <c r="X5" s="21" t="n">
        <f aca="false">Annahmen!$D$36</f>
        <v>4</v>
      </c>
      <c r="Y5" s="21" t="n">
        <f aca="false">Annahmen!$D$36</f>
        <v>4</v>
      </c>
    </row>
    <row r="6" customFormat="false" ht="15" hidden="false" customHeight="false" outlineLevel="0" collapsed="false">
      <c r="A6" s="5" t="s">
        <v>112</v>
      </c>
      <c r="B6" s="21" t="n">
        <f aca="false">0*Annahmen!$B$23+0*Annahmen!$B$24+0*Annahmen!$B$25+0*Annahmen!$B$26</f>
        <v>0</v>
      </c>
      <c r="C6" s="21" t="n">
        <f aca="false">B10*Annahmen!$B$23+B11*Annahmen!$B$24+B12*Annahmen!$B$25+B13*Annahmen!$B$26</f>
        <v>19.6875</v>
      </c>
      <c r="D6" s="21" t="n">
        <f aca="false">C10*Annahmen!$B$23+C11*Annahmen!$B$24+C12*Annahmen!$B$25+C13*Annahmen!$B$26</f>
        <v>38.780625</v>
      </c>
      <c r="E6" s="21" t="n">
        <f aca="false">D10*Annahmen!$B$23+D11*Annahmen!$B$24+D12*Annahmen!$B$25+D13*Annahmen!$B$26</f>
        <v>62.5280399525316</v>
      </c>
      <c r="F6" s="21" t="n">
        <f aca="false">E10*Annahmen!$B$23+E11*Annahmen!$B$24+E12*Annahmen!$B$25+E13*Annahmen!$B$26</f>
        <v>81.055585764551</v>
      </c>
      <c r="G6" s="21" t="n">
        <f aca="false">F10*Annahmen!$B$23+F11*Annahmen!$B$24+F12*Annahmen!$B$25+F13*Annahmen!$B$26</f>
        <v>95.5155266362029</v>
      </c>
      <c r="H6" s="21" t="n">
        <f aca="false">G10*Annahmen!$B$23+G11*Annahmen!$B$24+G12*Annahmen!$B$25+G13*Annahmen!$B$26</f>
        <v>106.80558018103</v>
      </c>
      <c r="I6" s="21" t="n">
        <f aca="false">H10*Annahmen!$B$23+H11*Annahmen!$B$24+H12*Annahmen!$B$25+H13*Annahmen!$B$26</f>
        <v>115.625156840458</v>
      </c>
      <c r="J6" s="21" t="n">
        <f aca="false">I10*Annahmen!$B$23+I11*Annahmen!$B$24+I12*Annahmen!$B$25+I13*Annahmen!$B$26</f>
        <v>122.519173477814</v>
      </c>
      <c r="K6" s="21" t="n">
        <f aca="false">J10*Annahmen!$B$23+J11*Annahmen!$B$24+J12*Annahmen!$B$25+J13*Annahmen!$B$26</f>
        <v>127.912186588213</v>
      </c>
      <c r="L6" s="21" t="n">
        <f aca="false">K10*Annahmen!$B$23+K11*Annahmen!$B$24+K12*Annahmen!$B$25+K13*Annahmen!$B$26</f>
        <v>132.134983966718</v>
      </c>
      <c r="M6" s="21" t="n">
        <f aca="false">L10*Annahmen!$B$23+L11*Annahmen!$B$24+L12*Annahmen!$B$25+L13*Annahmen!$B$26</f>
        <v>135.445301107934</v>
      </c>
      <c r="N6" s="21" t="n">
        <f aca="false">M10*Annahmen!$B$23+M11*Annahmen!$B$24+M12*Annahmen!$B$25+M13*Annahmen!$B$26</f>
        <v>138.043960453392</v>
      </c>
      <c r="O6" s="21" t="n">
        <f aca="false">N10*Annahmen!$B$23+N11*Annahmen!$B$24+N12*Annahmen!$B$25+N13*Annahmen!$B$26</f>
        <v>140.087444789145</v>
      </c>
      <c r="P6" s="21" t="n">
        <f aca="false">O10*Annahmen!$B$23+O11*Annahmen!$B$24+O12*Annahmen!$B$25+O13*Annahmen!$B$26</f>
        <v>141.697692652575</v>
      </c>
      <c r="Q6" s="21" t="n">
        <f aca="false">P10*Annahmen!$B$23+P11*Annahmen!$B$24+P12*Annahmen!$B$25+P13*Annahmen!$B$26</f>
        <v>142.969729532942</v>
      </c>
      <c r="R6" s="21" t="n">
        <f aca="false">Q10*Annahmen!$B$23+Q11*Annahmen!$B$24+Q12*Annahmen!$B$25+Q13*Annahmen!$B$26</f>
        <v>143.977613036878</v>
      </c>
      <c r="S6" s="21" t="n">
        <f aca="false">R10*Annahmen!$B$23+R11*Annahmen!$B$24+R12*Annahmen!$B$25+R13*Annahmen!$B$26</f>
        <v>144.77906453996</v>
      </c>
      <c r="T6" s="21" t="n">
        <f aca="false">S10*Annahmen!$B$23+S11*Annahmen!$B$24+S12*Annahmen!$B$25+S13*Annahmen!$B$26</f>
        <v>145.419077538398</v>
      </c>
      <c r="U6" s="21" t="n">
        <f aca="false">T10*Annahmen!$B$23+T11*Annahmen!$B$24+T12*Annahmen!$B$25+T13*Annahmen!$B$26</f>
        <v>145.932728793245</v>
      </c>
      <c r="V6" s="21" t="n">
        <f aca="false">U10*Annahmen!$B$23+U11*Annahmen!$B$24+U12*Annahmen!$B$25+U13*Annahmen!$B$26</f>
        <v>146.347368405332</v>
      </c>
      <c r="W6" s="21" t="n">
        <f aca="false">V10*Annahmen!$B$23+V11*Annahmen!$B$24+V12*Annahmen!$B$25+V13*Annahmen!$B$26</f>
        <v>146.684326042105</v>
      </c>
      <c r="X6" s="21" t="n">
        <f aca="false">W10*Annahmen!$B$23+W11*Annahmen!$B$24+W12*Annahmen!$B$25+W13*Annahmen!$B$26</f>
        <v>146.960240219138</v>
      </c>
      <c r="Y6" s="21" t="n">
        <f aca="false">X10*Annahmen!$B$23+X11*Annahmen!$B$24+X12*Annahmen!$B$25+X13*Annahmen!$B$26</f>
        <v>147.188093919346</v>
      </c>
    </row>
    <row r="7" customFormat="false" ht="15" hidden="false" customHeight="false" outlineLevel="0" collapsed="false">
      <c r="A7" s="5" t="s">
        <v>113</v>
      </c>
      <c r="B7" s="21" t="n">
        <f aca="false">MAX(0,(Annahmen!$B$28-B6)/Annahmen!$B$32)</f>
        <v>4.91862567811935</v>
      </c>
      <c r="C7" s="21" t="n">
        <f aca="false">MAX(0,(Annahmen!$B$28-C6)/Annahmen!$B$32)</f>
        <v>4.34900542495479</v>
      </c>
      <c r="D7" s="21" t="n">
        <f aca="false">MAX(0,(Annahmen!$B$28-D6)/Annahmen!$B$32)</f>
        <v>3.79658227848101</v>
      </c>
      <c r="E7" s="21" t="n">
        <f aca="false">MAX(0,(Annahmen!$B$28-E6)/Annahmen!$B$32)</f>
        <v>3.10949613157232</v>
      </c>
      <c r="F7" s="21" t="n">
        <f aca="false">MAX(0,(Annahmen!$B$28-F6)/Annahmen!$B$32)</f>
        <v>2.57343693990449</v>
      </c>
      <c r="G7" s="21" t="n">
        <f aca="false">MAX(0,(Annahmen!$B$28-G6)/Annahmen!$B$32)</f>
        <v>2.15506613710805</v>
      </c>
      <c r="H7" s="21" t="n">
        <f aca="false">MAX(0,(Annahmen!$B$28-H6)/Annahmen!$B$32)</f>
        <v>1.82840997667905</v>
      </c>
      <c r="I7" s="21" t="n">
        <f aca="false">MAX(0,(Annahmen!$B$28-I6)/Annahmen!$B$32)</f>
        <v>1.57323235181314</v>
      </c>
      <c r="J7" s="21" t="n">
        <f aca="false">MAX(0,(Annahmen!$B$28-J6)/Annahmen!$B$32)</f>
        <v>1.37376713264914</v>
      </c>
      <c r="K7" s="21" t="n">
        <f aca="false">MAX(0,(Annahmen!$B$28-K6)/Annahmen!$B$32)</f>
        <v>1.21773058695949</v>
      </c>
      <c r="L7" s="21" t="n">
        <f aca="false">MAX(0,(Annahmen!$B$28-L6)/Annahmen!$B$32)</f>
        <v>1.09555200096296</v>
      </c>
      <c r="M7" s="21" t="n">
        <f aca="false">MAX(0,(Annahmen!$B$28-M6)/Annahmen!$B$32)</f>
        <v>0.999774289824693</v>
      </c>
      <c r="N7" s="21" t="n">
        <f aca="false">MAX(0,(Annahmen!$B$28-N6)/Annahmen!$B$32)</f>
        <v>0.924587039323202</v>
      </c>
      <c r="O7" s="21" t="n">
        <f aca="false">MAX(0,(Annahmen!$B$28-O6)/Annahmen!$B$32)</f>
        <v>0.86546271857809</v>
      </c>
      <c r="P7" s="21" t="n">
        <f aca="false">MAX(0,(Annahmen!$B$28-P6)/Annahmen!$B$32)</f>
        <v>0.818873268641591</v>
      </c>
      <c r="Q7" s="21" t="n">
        <f aca="false">MAX(0,(Annahmen!$B$28-Q6)/Annahmen!$B$32)</f>
        <v>0.782069308269316</v>
      </c>
      <c r="R7" s="21" t="n">
        <f aca="false">MAX(0,(Annahmen!$B$28-R6)/Annahmen!$B$32)</f>
        <v>0.752908121898658</v>
      </c>
      <c r="S7" s="21" t="n">
        <f aca="false">MAX(0,(Annahmen!$B$28-S6)/Annahmen!$B$32)</f>
        <v>0.72971965164674</v>
      </c>
      <c r="T7" s="21" t="n">
        <f aca="false">MAX(0,(Annahmen!$B$28-T6)/Annahmen!$B$32)</f>
        <v>0.711202096538223</v>
      </c>
      <c r="U7" s="21" t="n">
        <f aca="false">MAX(0,(Annahmen!$B$28-U6)/Annahmen!$B$32)</f>
        <v>0.69634057741062</v>
      </c>
      <c r="V7" s="21" t="n">
        <f aca="false">MAX(0,(Annahmen!$B$28-V6)/Annahmen!$B$32)</f>
        <v>0.68434377127431</v>
      </c>
      <c r="W7" s="21" t="n">
        <f aca="false">MAX(0,(Annahmen!$B$28-W6)/Annahmen!$B$32)</f>
        <v>0.674594544893896</v>
      </c>
      <c r="X7" s="21" t="n">
        <f aca="false">MAX(0,(Annahmen!$B$28-X6)/Annahmen!$B$32)</f>
        <v>0.666611494563832</v>
      </c>
      <c r="Y7" s="21" t="n">
        <f aca="false">MAX(0,(Annahmen!$B$28-Y6)/Annahmen!$B$32)</f>
        <v>0.66001898244208</v>
      </c>
    </row>
    <row r="8" customFormat="false" ht="15" hidden="false" customHeight="false" outlineLevel="0" collapsed="false">
      <c r="A8" s="7" t="s">
        <v>114</v>
      </c>
      <c r="B8" s="20" t="n">
        <f aca="false">MIN(B5,B7)</f>
        <v>3</v>
      </c>
      <c r="C8" s="20" t="n">
        <f aca="false">MIN(C5,C7)</f>
        <v>3</v>
      </c>
      <c r="D8" s="20" t="n">
        <f aca="false">MIN(D5,D7)</f>
        <v>3.79658227848101</v>
      </c>
      <c r="E8" s="20" t="n">
        <f aca="false">MIN(E5,E7)</f>
        <v>3.10949613157232</v>
      </c>
      <c r="F8" s="20" t="n">
        <f aca="false">MIN(F5,F7)</f>
        <v>2.57343693990449</v>
      </c>
      <c r="G8" s="20" t="n">
        <f aca="false">MIN(G5,G7)</f>
        <v>2.15506613710805</v>
      </c>
      <c r="H8" s="20" t="n">
        <f aca="false">MIN(H5,H7)</f>
        <v>1.82840997667905</v>
      </c>
      <c r="I8" s="20" t="n">
        <f aca="false">MIN(I5,I7)</f>
        <v>1.57323235181314</v>
      </c>
      <c r="J8" s="20" t="n">
        <f aca="false">MIN(J5,J7)</f>
        <v>1.37376713264914</v>
      </c>
      <c r="K8" s="20" t="n">
        <f aca="false">MIN(K5,K7)</f>
        <v>1.21773058695949</v>
      </c>
      <c r="L8" s="20" t="n">
        <f aca="false">MIN(L5,L7)</f>
        <v>1.09555200096296</v>
      </c>
      <c r="M8" s="20" t="n">
        <f aca="false">MIN(M5,M7)</f>
        <v>0.999774289824693</v>
      </c>
      <c r="N8" s="20" t="n">
        <f aca="false">MIN(N5,N7)</f>
        <v>0.924587039323202</v>
      </c>
      <c r="O8" s="20" t="n">
        <f aca="false">MIN(O5,O7)</f>
        <v>0.86546271857809</v>
      </c>
      <c r="P8" s="20" t="n">
        <f aca="false">MIN(P5,P7)</f>
        <v>0.818873268641591</v>
      </c>
      <c r="Q8" s="20" t="n">
        <f aca="false">MIN(Q5,Q7)</f>
        <v>0.782069308269316</v>
      </c>
      <c r="R8" s="20" t="n">
        <f aca="false">MIN(R5,R7)</f>
        <v>0.752908121898658</v>
      </c>
      <c r="S8" s="20" t="n">
        <f aca="false">MIN(S5,S7)</f>
        <v>0.72971965164674</v>
      </c>
      <c r="T8" s="20" t="n">
        <f aca="false">MIN(T5,T7)</f>
        <v>0.711202096538223</v>
      </c>
      <c r="U8" s="20" t="n">
        <f aca="false">MIN(U5,U7)</f>
        <v>0.69634057741062</v>
      </c>
      <c r="V8" s="20" t="n">
        <f aca="false">MIN(V5,V7)</f>
        <v>0.68434377127431</v>
      </c>
      <c r="W8" s="20" t="n">
        <f aca="false">MIN(W5,W7)</f>
        <v>0.674594544893896</v>
      </c>
      <c r="X8" s="20" t="n">
        <f aca="false">MIN(X5,X7)</f>
        <v>0.666611494563832</v>
      </c>
      <c r="Y8" s="20" t="n">
        <f aca="false">MIN(Y5,Y7)</f>
        <v>0.66001898244208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115</v>
      </c>
      <c r="B10" s="21" t="n">
        <f aca="false">0*(1-Annahmen!$B$15)+B8*Annahmen!$B$11</f>
        <v>0.75</v>
      </c>
      <c r="C10" s="21" t="n">
        <f aca="false">B10*(1-Annahmen!$B$15)+C8*Annahmen!$B$11</f>
        <v>1.4925</v>
      </c>
      <c r="D10" s="21" t="n">
        <f aca="false">C10*(1-Annahmen!$B$15)+D8*Annahmen!$B$11</f>
        <v>2.42672056962025</v>
      </c>
      <c r="E10" s="21" t="n">
        <f aca="false">D10*(1-Annahmen!$B$15)+E8*Annahmen!$B$11</f>
        <v>3.17982739681713</v>
      </c>
      <c r="F10" s="21" t="n">
        <f aca="false">E10*(1-Annahmen!$B$15)+F8*Annahmen!$B$11</f>
        <v>3.79138835782508</v>
      </c>
      <c r="G10" s="21" t="n">
        <f aca="false">F10*(1-Annahmen!$B$15)+G8*Annahmen!$B$11</f>
        <v>4.29224100852385</v>
      </c>
      <c r="H10" s="21" t="n">
        <f aca="false">G10*(1-Annahmen!$B$15)+H8*Annahmen!$B$11</f>
        <v>4.70642109260837</v>
      </c>
      <c r="I10" s="21" t="n">
        <f aca="false">H10*(1-Annahmen!$B$15)+I8*Annahmen!$B$11</f>
        <v>5.05266496963557</v>
      </c>
      <c r="J10" s="21" t="n">
        <f aca="false">I10*(1-Annahmen!$B$15)+J8*Annahmen!$B$11</f>
        <v>5.3455801031015</v>
      </c>
      <c r="K10" s="21" t="n">
        <f aca="false">J10*(1-Annahmen!$B$15)+K8*Annahmen!$B$11</f>
        <v>5.59655694881036</v>
      </c>
      <c r="L10" s="21" t="n">
        <f aca="false">K10*(1-Annahmen!$B$15)+L8*Annahmen!$B$11</f>
        <v>5.81447937956299</v>
      </c>
      <c r="M10" s="21" t="n">
        <f aca="false">L10*(1-Annahmen!$B$15)+M8*Annahmen!$B$11</f>
        <v>6.00627815822354</v>
      </c>
      <c r="N10" s="21" t="n">
        <f aca="false">M10*(1-Annahmen!$B$15)+N8*Annahmen!$B$11</f>
        <v>6.1773621364721</v>
      </c>
      <c r="O10" s="21" t="n">
        <f aca="false">N10*(1-Annahmen!$B$15)+O8*Annahmen!$B$11</f>
        <v>6.3319541947519</v>
      </c>
      <c r="P10" s="21" t="n">
        <f aca="false">O10*(1-Annahmen!$B$15)+P8*Annahmen!$B$11</f>
        <v>6.47335296996478</v>
      </c>
      <c r="Q10" s="21" t="n">
        <f aca="false">P10*(1-Annahmen!$B$15)+Q8*Annahmen!$B$11</f>
        <v>6.60413676733246</v>
      </c>
      <c r="R10" s="21" t="n">
        <f aca="false">Q10*(1-Annahmen!$B$15)+R8*Annahmen!$B$11</f>
        <v>6.7263224301338</v>
      </c>
      <c r="S10" s="21" t="n">
        <f aca="false">R10*(1-Annahmen!$B$15)+S8*Annahmen!$B$11</f>
        <v>6.84148911874415</v>
      </c>
      <c r="T10" s="21" t="n">
        <f aca="false">S10*(1-Annahmen!$B$15)+T8*Annahmen!$B$11</f>
        <v>6.95087475169126</v>
      </c>
      <c r="U10" s="21" t="n">
        <f aca="false">T10*(1-Annahmen!$B$15)+U8*Annahmen!$B$11</f>
        <v>7.05545114852701</v>
      </c>
      <c r="V10" s="21" t="n">
        <f aca="false">U10*(1-Annahmen!$B$15)+V8*Annahmen!$B$11</f>
        <v>7.15598257986031</v>
      </c>
      <c r="W10" s="21" t="n">
        <f aca="false">V10*(1-Annahmen!$B$15)+W8*Annahmen!$B$11</f>
        <v>7.25307139028518</v>
      </c>
      <c r="X10" s="21" t="n">
        <f aca="false">W10*(1-Annahmen!$B$15)+X8*Annahmen!$B$11</f>
        <v>7.34719355002329</v>
      </c>
      <c r="Y10" s="21" t="n">
        <f aca="false">X10*(1-Annahmen!$B$15)+Y8*Annahmen!$B$11</f>
        <v>7.43872636013358</v>
      </c>
    </row>
    <row r="11" customFormat="false" ht="15" hidden="false" customHeight="false" outlineLevel="0" collapsed="false">
      <c r="A11" s="5" t="s">
        <v>116</v>
      </c>
      <c r="B11" s="21" t="n">
        <f aca="false">0*(1-Annahmen!$B$16)+B8*Annahmen!$B$12</f>
        <v>0.75</v>
      </c>
      <c r="C11" s="21" t="n">
        <f aca="false">B11*(1-Annahmen!$B$16)+C8*Annahmen!$B$12</f>
        <v>1.485</v>
      </c>
      <c r="D11" s="21" t="n">
        <f aca="false">C11*(1-Annahmen!$B$16)+D8*Annahmen!$B$12</f>
        <v>2.40444556962025</v>
      </c>
      <c r="E11" s="21" t="n">
        <f aca="false">D11*(1-Annahmen!$B$16)+E8*Annahmen!$B$12</f>
        <v>3.13373069112093</v>
      </c>
      <c r="F11" s="21" t="n">
        <f aca="false">E11*(1-Annahmen!$B$16)+F8*Annahmen!$B$12</f>
        <v>3.71441531227463</v>
      </c>
      <c r="G11" s="21" t="n">
        <f aca="false">F11*(1-Annahmen!$B$16)+G8*Annahmen!$B$12</f>
        <v>4.17889354030615</v>
      </c>
      <c r="H11" s="21" t="n">
        <f aca="false">G11*(1-Annahmen!$B$16)+H8*Annahmen!$B$12</f>
        <v>4.55241816366979</v>
      </c>
      <c r="I11" s="21" t="n">
        <f aca="false">H11*(1-Annahmen!$B$16)+I8*Annahmen!$B$12</f>
        <v>4.85467788834968</v>
      </c>
      <c r="J11" s="21" t="n">
        <f aca="false">I11*(1-Annahmen!$B$16)+J8*Annahmen!$B$12</f>
        <v>5.10102611374497</v>
      </c>
      <c r="K11" s="21" t="n">
        <f aca="false">J11*(1-Annahmen!$B$16)+K8*Annahmen!$B$12</f>
        <v>5.30343823820995</v>
      </c>
      <c r="L11" s="21" t="n">
        <f aca="false">K11*(1-Annahmen!$B$16)+L8*Annahmen!$B$12</f>
        <v>5.47125747368649</v>
      </c>
      <c r="M11" s="21" t="n">
        <f aca="false">L11*(1-Annahmen!$B$16)+M8*Annahmen!$B$12</f>
        <v>5.61177589666893</v>
      </c>
      <c r="N11" s="21" t="n">
        <f aca="false">M11*(1-Annahmen!$B$16)+N8*Annahmen!$B$12</f>
        <v>5.73068713856635</v>
      </c>
      <c r="O11" s="21" t="n">
        <f aca="false">N11*(1-Annahmen!$B$16)+O8*Annahmen!$B$12</f>
        <v>5.83243907543955</v>
      </c>
      <c r="P11" s="21" t="n">
        <f aca="false">O11*(1-Annahmen!$B$16)+P8*Annahmen!$B$12</f>
        <v>5.92050861109115</v>
      </c>
      <c r="Q11" s="21" t="n">
        <f aca="false">P11*(1-Annahmen!$B$16)+Q8*Annahmen!$B$12</f>
        <v>5.99761576593666</v>
      </c>
      <c r="R11" s="21" t="n">
        <f aca="false">Q11*(1-Annahmen!$B$16)+R8*Annahmen!$B$12</f>
        <v>6.06589048109259</v>
      </c>
      <c r="S11" s="21" t="n">
        <f aca="false">R11*(1-Annahmen!$B$16)+S8*Annahmen!$B$12</f>
        <v>6.12700258438242</v>
      </c>
      <c r="T11" s="21" t="n">
        <f aca="false">S11*(1-Annahmen!$B$16)+T8*Annahmen!$B$12</f>
        <v>6.18226305682933</v>
      </c>
      <c r="U11" s="21" t="n">
        <f aca="false">T11*(1-Annahmen!$B$16)+U8*Annahmen!$B$12</f>
        <v>6.2327029400454</v>
      </c>
      <c r="V11" s="21" t="n">
        <f aca="false">U11*(1-Annahmen!$B$16)+V8*Annahmen!$B$12</f>
        <v>6.27913482406307</v>
      </c>
      <c r="W11" s="21" t="n">
        <f aca="false">V11*(1-Annahmen!$B$16)+W8*Annahmen!$B$12</f>
        <v>6.32220076380528</v>
      </c>
      <c r="X11" s="21" t="n">
        <f aca="false">W11*(1-Annahmen!$B$16)+X8*Annahmen!$B$12</f>
        <v>6.36240962217013</v>
      </c>
      <c r="Y11" s="21" t="n">
        <f aca="false">X11*(1-Annahmen!$B$16)+Y8*Annahmen!$B$12</f>
        <v>6.40016617533725</v>
      </c>
    </row>
    <row r="12" customFormat="false" ht="15" hidden="false" customHeight="false" outlineLevel="0" collapsed="false">
      <c r="A12" s="5" t="s">
        <v>117</v>
      </c>
      <c r="B12" s="21" t="n">
        <f aca="false">0*(1-Annahmen!$B$17)+B8*Annahmen!$B$13</f>
        <v>0.75</v>
      </c>
      <c r="C12" s="21" t="n">
        <f aca="false">B12*(1-Annahmen!$B$17)+C8*Annahmen!$B$13</f>
        <v>1.4775</v>
      </c>
      <c r="D12" s="21" t="n">
        <f aca="false">C12*(1-Annahmen!$B$17)+D8*Annahmen!$B$13</f>
        <v>2.38232056962025</v>
      </c>
      <c r="E12" s="21" t="n">
        <f aca="false">D12*(1-Annahmen!$B$17)+E8*Annahmen!$B$13</f>
        <v>3.08822498542473</v>
      </c>
      <c r="F12" s="21" t="n">
        <f aca="false">E12*(1-Annahmen!$B$17)+F8*Annahmen!$B$13</f>
        <v>3.63893747083811</v>
      </c>
      <c r="G12" s="21" t="n">
        <f aca="false">F12*(1-Annahmen!$B$17)+G8*Annahmen!$B$13</f>
        <v>4.06853588098998</v>
      </c>
      <c r="H12" s="21" t="n">
        <f aca="false">G12*(1-Annahmen!$B$17)+H8*Annahmen!$B$13</f>
        <v>4.40358229873004</v>
      </c>
      <c r="I12" s="21" t="n">
        <f aca="false">H12*(1-Annahmen!$B$17)+I8*Annahmen!$B$13</f>
        <v>4.66478291772142</v>
      </c>
      <c r="J12" s="21" t="n">
        <f aca="false">I12*(1-Annahmen!$B$17)+J8*Annahmen!$B$13</f>
        <v>4.86828121335206</v>
      </c>
      <c r="K12" s="21" t="n">
        <f aca="false">J12*(1-Annahmen!$B$17)+K8*Annahmen!$B$13</f>
        <v>5.02666542369137</v>
      </c>
      <c r="L12" s="21" t="n">
        <f aca="false">K12*(1-Annahmen!$B$17)+L8*Annahmen!$B$13</f>
        <v>5.14975346122137</v>
      </c>
      <c r="M12" s="21" t="n">
        <f aca="false">L12*(1-Annahmen!$B$17)+M8*Annahmen!$B$13</f>
        <v>5.2452044298409</v>
      </c>
      <c r="N12" s="21" t="n">
        <f aca="false">M12*(1-Annahmen!$B$17)+N8*Annahmen!$B$13</f>
        <v>5.31899505677648</v>
      </c>
      <c r="O12" s="21" t="n">
        <f aca="false">N12*(1-Annahmen!$B$17)+O8*Annahmen!$B$13</f>
        <v>5.37579088471771</v>
      </c>
      <c r="P12" s="21" t="n">
        <f aca="false">O12*(1-Annahmen!$B$17)+P8*Annahmen!$B$13</f>
        <v>5.41923547533657</v>
      </c>
      <c r="Q12" s="21" t="n">
        <f aca="false">P12*(1-Annahmen!$B$17)+Q8*Annahmen!$B$13</f>
        <v>5.4521757381438</v>
      </c>
      <c r="R12" s="21" t="n">
        <f aca="false">Q12*(1-Annahmen!$B$17)+R8*Annahmen!$B$13</f>
        <v>5.47683749647415</v>
      </c>
      <c r="S12" s="21" t="n">
        <f aca="false">R12*(1-Annahmen!$B$17)+S8*Annahmen!$B$13</f>
        <v>5.49496228449161</v>
      </c>
      <c r="T12" s="21" t="n">
        <f aca="false">S12*(1-Annahmen!$B$17)+T8*Annahmen!$B$13</f>
        <v>5.50791394009142</v>
      </c>
      <c r="U12" s="21" t="n">
        <f aca="false">T12*(1-Annahmen!$B$17)+U8*Annahmen!$B$13</f>
        <v>5.51676166624133</v>
      </c>
      <c r="V12" s="21" t="n">
        <f aca="false">U12*(1-Annahmen!$B$17)+V8*Annahmen!$B$13</f>
        <v>5.52234475907267</v>
      </c>
      <c r="W12" s="21" t="n">
        <f aca="false">V12*(1-Annahmen!$B$17)+W8*Annahmen!$B$13</f>
        <v>5.52532305252397</v>
      </c>
      <c r="X12" s="21" t="n">
        <f aca="false">W12*(1-Annahmen!$B$17)+X8*Annahmen!$B$13</f>
        <v>5.5262162345892</v>
      </c>
      <c r="Y12" s="21" t="n">
        <f aca="false">X12*(1-Annahmen!$B$17)+Y8*Annahmen!$B$13</f>
        <v>5.52543449316205</v>
      </c>
    </row>
    <row r="13" customFormat="false" ht="15" hidden="false" customHeight="false" outlineLevel="0" collapsed="false">
      <c r="A13" s="5" t="s">
        <v>118</v>
      </c>
      <c r="B13" s="21" t="n">
        <f aca="false">0*(1-Annahmen!$B$18)+B8*Annahmen!$B$14</f>
        <v>0.75</v>
      </c>
      <c r="C13" s="21" t="n">
        <f aca="false">B13*(1-Annahmen!$B$18)+C8*Annahmen!$B$14</f>
        <v>1.4625</v>
      </c>
      <c r="D13" s="21" t="n">
        <f aca="false">C13*(1-Annahmen!$B$18)+D8*Annahmen!$B$14</f>
        <v>2.33852056962025</v>
      </c>
      <c r="E13" s="21" t="n">
        <f aca="false">D13*(1-Annahmen!$B$18)+E8*Annahmen!$B$14</f>
        <v>2.99896857403232</v>
      </c>
      <c r="F13" s="21" t="n">
        <f aca="false">E13*(1-Annahmen!$B$18)+F8*Annahmen!$B$14</f>
        <v>3.49237938030683</v>
      </c>
      <c r="G13" s="21" t="n">
        <f aca="false">F13*(1-Annahmen!$B$18)+G8*Annahmen!$B$14</f>
        <v>3.8565269455685</v>
      </c>
      <c r="H13" s="21" t="n">
        <f aca="false">G13*(1-Annahmen!$B$18)+H8*Annahmen!$B$14</f>
        <v>4.12080309245984</v>
      </c>
      <c r="I13" s="21" t="n">
        <f aca="false">H13*(1-Annahmen!$B$18)+I8*Annahmen!$B$14</f>
        <v>4.30807102579013</v>
      </c>
      <c r="J13" s="21" t="n">
        <f aca="false">I13*(1-Annahmen!$B$18)+J8*Annahmen!$B$14</f>
        <v>4.43610925766291</v>
      </c>
      <c r="K13" s="21" t="n">
        <f aca="false">J13*(1-Annahmen!$B$18)+K8*Annahmen!$B$14</f>
        <v>4.51873644151963</v>
      </c>
      <c r="L13" s="21" t="n">
        <f aca="false">K13*(1-Annahmen!$B$18)+L8*Annahmen!$B$14</f>
        <v>4.56668761968439</v>
      </c>
      <c r="M13" s="21" t="n">
        <f aca="false">L13*(1-Annahmen!$B$18)+M8*Annahmen!$B$14</f>
        <v>4.58829681115635</v>
      </c>
      <c r="N13" s="21" t="n">
        <f aca="false">M13*(1-Annahmen!$B$18)+N8*Annahmen!$B$14</f>
        <v>4.59002873042933</v>
      </c>
      <c r="O13" s="21" t="n">
        <f aca="false">N13*(1-Annahmen!$B$18)+O8*Annahmen!$B$14</f>
        <v>4.57689297355239</v>
      </c>
      <c r="P13" s="21" t="n">
        <f aca="false">O13*(1-Annahmen!$B$18)+P8*Annahmen!$B$14</f>
        <v>4.55276664203516</v>
      </c>
      <c r="Q13" s="21" t="n">
        <f aca="false">P13*(1-Annahmen!$B$18)+Q8*Annahmen!$B$14</f>
        <v>4.52064563700073</v>
      </c>
      <c r="R13" s="21" t="n">
        <f aca="false">Q13*(1-Annahmen!$B$18)+R8*Annahmen!$B$14</f>
        <v>4.48284038562536</v>
      </c>
      <c r="S13" s="21" t="n">
        <f aca="false">R13*(1-Annahmen!$B$18)+S8*Annahmen!$B$14</f>
        <v>4.44112827925578</v>
      </c>
      <c r="T13" s="21" t="n">
        <f aca="false">S13*(1-Annahmen!$B$18)+T8*Annahmen!$B$14</f>
        <v>4.39687238942754</v>
      </c>
      <c r="U13" s="21" t="n">
        <f aca="false">T13*(1-Annahmen!$B$18)+U8*Annahmen!$B$14</f>
        <v>4.35111391430882</v>
      </c>
      <c r="V13" s="21" t="n">
        <f aca="false">U13*(1-Annahmen!$B$18)+V8*Annahmen!$B$14</f>
        <v>4.30464416141196</v>
      </c>
      <c r="W13" s="21" t="n">
        <f aca="false">V13*(1-Annahmen!$B$18)+W8*Annahmen!$B$14</f>
        <v>4.25806058956483</v>
      </c>
      <c r="X13" s="21" t="n">
        <f aca="false">W13*(1-Annahmen!$B$18)+X8*Annahmen!$B$14</f>
        <v>4.21181043372755</v>
      </c>
      <c r="Y13" s="21" t="n">
        <f aca="false">X13*(1-Annahmen!$B$18)+Y8*Annahmen!$B$14</f>
        <v>4.16622465765169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119</v>
      </c>
      <c r="B15" s="23" t="n">
        <f aca="false">B10*Annahmen!$B$6+B11*Annahmen!$B$7+B12*Annahmen!$B$8+B13*Annahmen!$B$9</f>
        <v>1926.75</v>
      </c>
      <c r="C15" s="23" t="n">
        <f aca="false">C10*Annahmen!$B$6+C11*Annahmen!$B$7+C12*Annahmen!$B$8+C13*Annahmen!$B$9</f>
        <v>3793.8075</v>
      </c>
      <c r="D15" s="23" t="n">
        <f aca="false">D10*Annahmen!$B$6+D11*Annahmen!$B$7+D12*Annahmen!$B$8+D13*Annahmen!$B$9</f>
        <v>6114.97189335443</v>
      </c>
      <c r="E15" s="23" t="n">
        <f aca="false">E10*Annahmen!$B$6+E11*Annahmen!$B$7+E12*Annahmen!$B$8+E13*Annahmen!$B$9</f>
        <v>7923.60977872068</v>
      </c>
      <c r="F15" s="23" t="n">
        <f aca="false">F10*Annahmen!$B$6+F11*Annahmen!$B$7+F12*Annahmen!$B$8+F13*Annahmen!$B$9</f>
        <v>9332.98721357495</v>
      </c>
      <c r="G15" s="23" t="n">
        <f aca="false">G10*Annahmen!$B$6+G11*Annahmen!$B$7+G12*Annahmen!$B$8+G13*Annahmen!$B$9</f>
        <v>10431.3428876664</v>
      </c>
      <c r="H15" s="23" t="n">
        <f aca="false">H10*Annahmen!$B$6+H11*Annahmen!$B$7+H12*Annahmen!$B$8+H13*Annahmen!$B$9</f>
        <v>11287.4179085399</v>
      </c>
      <c r="I15" s="23" t="n">
        <f aca="false">I10*Annahmen!$B$6+I11*Annahmen!$B$7+I12*Annahmen!$B$8+I13*Annahmen!$B$9</f>
        <v>11954.7637976303</v>
      </c>
      <c r="J15" s="23" t="n">
        <f aca="false">J10*Annahmen!$B$6+J11*Annahmen!$B$7+J12*Annahmen!$B$8+J13*Annahmen!$B$9</f>
        <v>12475.0986469673</v>
      </c>
      <c r="K15" s="23" t="n">
        <f aca="false">K10*Annahmen!$B$6+K11*Annahmen!$B$7+K12*Annahmen!$B$8+K13*Annahmen!$B$9</f>
        <v>12880.9217420578</v>
      </c>
      <c r="L15" s="23" t="n">
        <f aca="false">L10*Annahmen!$B$6+L11*Annahmen!$B$7+L12*Annahmen!$B$8+L13*Annahmen!$B$9</f>
        <v>13197.5504902625</v>
      </c>
      <c r="M15" s="23" t="n">
        <f aca="false">M10*Annahmen!$B$6+M11*Annahmen!$B$7+M12*Annahmen!$B$8+M13*Annahmen!$B$9</f>
        <v>13444.7072942842</v>
      </c>
      <c r="N15" s="23" t="n">
        <f aca="false">N10*Annahmen!$B$6+N11*Annahmen!$B$7+N12*Annahmen!$B$8+N13*Annahmen!$B$9</f>
        <v>13637.7558088735</v>
      </c>
      <c r="O15" s="23" t="n">
        <f aca="false">O10*Annahmen!$B$6+O11*Annahmen!$B$7+O12*Annahmen!$B$8+O13*Annahmen!$B$9</f>
        <v>13788.6640483705</v>
      </c>
      <c r="P15" s="23" t="n">
        <f aca="false">P10*Annahmen!$B$6+P11*Annahmen!$B$7+P12*Annahmen!$B$8+P13*Annahmen!$B$9</f>
        <v>13906.7546965088</v>
      </c>
      <c r="Q15" s="23" t="n">
        <f aca="false">Q10*Annahmen!$B$6+Q11*Annahmen!$B$7+Q12*Annahmen!$B$8+Q13*Annahmen!$B$9</f>
        <v>13999.2896354759</v>
      </c>
      <c r="R15" s="23" t="n">
        <f aca="false">R10*Annahmen!$B$6+R11*Annahmen!$B$7+R12*Annahmen!$B$8+R13*Annahmen!$B$9</f>
        <v>14071.92532299</v>
      </c>
      <c r="S15" s="23" t="n">
        <f aca="false">S10*Annahmen!$B$6+S11*Annahmen!$B$7+S12*Annahmen!$B$8+S13*Annahmen!$B$9</f>
        <v>14129.0675531561</v>
      </c>
      <c r="T15" s="23" t="n">
        <f aca="false">T10*Annahmen!$B$6+T11*Annahmen!$B$7+T12*Annahmen!$B$8+T13*Annahmen!$B$9</f>
        <v>14174.1478319889</v>
      </c>
      <c r="U15" s="23" t="n">
        <f aca="false">U10*Annahmen!$B$6+U11*Annahmen!$B$7+U12*Annahmen!$B$8+U13*Annahmen!$B$9</f>
        <v>14209.8386866519</v>
      </c>
      <c r="V15" s="23" t="n">
        <f aca="false">V10*Annahmen!$B$6+V11*Annahmen!$B$7+V12*Annahmen!$B$8+V13*Annahmen!$B$9</f>
        <v>14238.2214008786</v>
      </c>
      <c r="W15" s="23" t="n">
        <f aca="false">W10*Annahmen!$B$6+W11*Annahmen!$B$7+W12*Annahmen!$B$8+W13*Annahmen!$B$9</f>
        <v>14260.9166879266</v>
      </c>
      <c r="X15" s="23" t="n">
        <f aca="false">X10*Annahmen!$B$6+X11*Annahmen!$B$7+X12*Annahmen!$B$8+X13*Annahmen!$B$9</f>
        <v>14279.1864899652</v>
      </c>
      <c r="Y15" s="23" t="n">
        <f aca="false">Y10*Annahmen!$B$6+Y11*Annahmen!$B$7+Y12*Annahmen!$B$8+Y13*Annahmen!$B$9</f>
        <v>14294.0132834896</v>
      </c>
    </row>
    <row r="16" customFormat="false" ht="15" hidden="false" customHeight="false" outlineLevel="0" collapsed="false">
      <c r="A16" s="5" t="s">
        <v>120</v>
      </c>
      <c r="B16" s="24" t="n">
        <f aca="false">B8*Annahmen!$B$11*Annahmen!$B$5+B8*Annahmen!$B$14*Annahmen!$B$10</f>
        <v>2767.5</v>
      </c>
      <c r="C16" s="24" t="n">
        <f aca="false">C8*Annahmen!$B$11*Annahmen!$B$5+C8*Annahmen!$B$14*Annahmen!$B$10</f>
        <v>2767.5</v>
      </c>
      <c r="D16" s="24" t="n">
        <f aca="false">D8*Annahmen!$B$11*Annahmen!$B$5+D8*Annahmen!$B$14*Annahmen!$B$10</f>
        <v>3502.34715189873</v>
      </c>
      <c r="E16" s="24" t="n">
        <f aca="false">E8*Annahmen!$B$11*Annahmen!$B$5+E8*Annahmen!$B$14*Annahmen!$B$10</f>
        <v>2868.51018137547</v>
      </c>
      <c r="F16" s="24" t="n">
        <f aca="false">F8*Annahmen!$B$11*Annahmen!$B$5+F8*Annahmen!$B$14*Annahmen!$B$10</f>
        <v>2373.99557706189</v>
      </c>
      <c r="G16" s="24" t="n">
        <f aca="false">G8*Annahmen!$B$11*Annahmen!$B$5+G8*Annahmen!$B$14*Annahmen!$B$10</f>
        <v>1988.04851148218</v>
      </c>
      <c r="H16" s="24" t="n">
        <f aca="false">H8*Annahmen!$B$11*Annahmen!$B$5+H8*Annahmen!$B$14*Annahmen!$B$10</f>
        <v>1686.70820348642</v>
      </c>
      <c r="I16" s="24" t="n">
        <f aca="false">I8*Annahmen!$B$11*Annahmen!$B$5+I8*Annahmen!$B$14*Annahmen!$B$10</f>
        <v>1451.30684454762</v>
      </c>
      <c r="J16" s="24" t="n">
        <f aca="false">J8*Annahmen!$B$11*Annahmen!$B$5+J8*Annahmen!$B$14*Annahmen!$B$10</f>
        <v>1267.30017986883</v>
      </c>
      <c r="K16" s="24" t="n">
        <f aca="false">K8*Annahmen!$B$11*Annahmen!$B$5+K8*Annahmen!$B$14*Annahmen!$B$10</f>
        <v>1123.35646647013</v>
      </c>
      <c r="L16" s="24" t="n">
        <f aca="false">L8*Annahmen!$B$11*Annahmen!$B$5+L8*Annahmen!$B$14*Annahmen!$B$10</f>
        <v>1010.64672088833</v>
      </c>
      <c r="M16" s="24" t="n">
        <f aca="false">M8*Annahmen!$B$11*Annahmen!$B$5+M8*Annahmen!$B$14*Annahmen!$B$10</f>
        <v>922.291782363279</v>
      </c>
      <c r="N16" s="24" t="n">
        <f aca="false">N8*Annahmen!$B$11*Annahmen!$B$5+N8*Annahmen!$B$14*Annahmen!$B$10</f>
        <v>852.931543775654</v>
      </c>
      <c r="O16" s="24" t="n">
        <f aca="false">O8*Annahmen!$B$11*Annahmen!$B$5+O8*Annahmen!$B$14*Annahmen!$B$10</f>
        <v>798.389357888288</v>
      </c>
      <c r="P16" s="24" t="n">
        <f aca="false">P8*Annahmen!$B$11*Annahmen!$B$5+P8*Annahmen!$B$14*Annahmen!$B$10</f>
        <v>755.410590321867</v>
      </c>
      <c r="Q16" s="24" t="n">
        <f aca="false">Q8*Annahmen!$B$11*Annahmen!$B$5+Q8*Annahmen!$B$14*Annahmen!$B$10</f>
        <v>721.458936878444</v>
      </c>
      <c r="R16" s="24" t="n">
        <f aca="false">R8*Annahmen!$B$11*Annahmen!$B$5+R8*Annahmen!$B$14*Annahmen!$B$10</f>
        <v>694.557742451512</v>
      </c>
      <c r="S16" s="24" t="n">
        <f aca="false">S8*Annahmen!$B$11*Annahmen!$B$5+S8*Annahmen!$B$14*Annahmen!$B$10</f>
        <v>673.166378644117</v>
      </c>
      <c r="T16" s="24" t="n">
        <f aca="false">T8*Annahmen!$B$11*Annahmen!$B$5+T8*Annahmen!$B$14*Annahmen!$B$10</f>
        <v>656.083934056511</v>
      </c>
      <c r="U16" s="24" t="n">
        <f aca="false">U8*Annahmen!$B$11*Annahmen!$B$5+U8*Annahmen!$B$14*Annahmen!$B$10</f>
        <v>642.374182661297</v>
      </c>
      <c r="V16" s="24" t="n">
        <f aca="false">V8*Annahmen!$B$11*Annahmen!$B$5+V8*Annahmen!$B$14*Annahmen!$B$10</f>
        <v>631.307129000551</v>
      </c>
      <c r="W16" s="24" t="n">
        <f aca="false">W8*Annahmen!$B$11*Annahmen!$B$5+W8*Annahmen!$B$14*Annahmen!$B$10</f>
        <v>622.313467664619</v>
      </c>
      <c r="X16" s="24" t="n">
        <f aca="false">X8*Annahmen!$B$11*Annahmen!$B$5+X8*Annahmen!$B$14*Annahmen!$B$10</f>
        <v>614.949103735135</v>
      </c>
      <c r="Y16" s="24" t="n">
        <f aca="false">Y8*Annahmen!$B$11*Annahmen!$B$5+Y8*Annahmen!$B$14*Annahmen!$B$10</f>
        <v>608.867511302819</v>
      </c>
    </row>
    <row r="17" customFormat="false" ht="15" hidden="false" customHeight="false" outlineLevel="0" collapsed="false">
      <c r="A17" s="7" t="s">
        <v>121</v>
      </c>
      <c r="B17" s="23" t="n">
        <f aca="false">B15+B16</f>
        <v>4694.25</v>
      </c>
      <c r="C17" s="23" t="n">
        <f aca="false">C15+C16</f>
        <v>6561.3075</v>
      </c>
      <c r="D17" s="23" t="n">
        <f aca="false">D15+D16</f>
        <v>9617.31904525316</v>
      </c>
      <c r="E17" s="23" t="n">
        <f aca="false">E15+E16</f>
        <v>10792.1199600961</v>
      </c>
      <c r="F17" s="23" t="n">
        <f aca="false">F15+F16</f>
        <v>11706.9827906368</v>
      </c>
      <c r="G17" s="23" t="n">
        <f aca="false">G15+G16</f>
        <v>12419.3913991486</v>
      </c>
      <c r="H17" s="23" t="n">
        <f aca="false">H15+H16</f>
        <v>12974.1261120263</v>
      </c>
      <c r="I17" s="23" t="n">
        <f aca="false">I15+I16</f>
        <v>13406.0706421779</v>
      </c>
      <c r="J17" s="23" t="n">
        <f aca="false">J15+J16</f>
        <v>13742.3988268361</v>
      </c>
      <c r="K17" s="23" t="n">
        <f aca="false">K15+K16</f>
        <v>14004.2782085279</v>
      </c>
      <c r="L17" s="23" t="n">
        <f aca="false">L15+L16</f>
        <v>14208.1972111509</v>
      </c>
      <c r="M17" s="23" t="n">
        <f aca="false">M15+M16</f>
        <v>14366.9990766475</v>
      </c>
      <c r="N17" s="23" t="n">
        <f aca="false">N15+N16</f>
        <v>14490.6873526491</v>
      </c>
      <c r="O17" s="23" t="n">
        <f aca="false">O15+O16</f>
        <v>14587.0534062588</v>
      </c>
      <c r="P17" s="23" t="n">
        <f aca="false">P15+P16</f>
        <v>14662.1652868307</v>
      </c>
      <c r="Q17" s="23" t="n">
        <f aca="false">Q15+Q16</f>
        <v>14720.7485723544</v>
      </c>
      <c r="R17" s="23" t="n">
        <f aca="false">R15+R16</f>
        <v>14766.4830654415</v>
      </c>
      <c r="S17" s="23" t="n">
        <f aca="false">S15+S16</f>
        <v>14802.2339318003</v>
      </c>
      <c r="T17" s="23" t="n">
        <f aca="false">T15+T16</f>
        <v>14830.2317660454</v>
      </c>
      <c r="U17" s="23" t="n">
        <f aca="false">U15+U16</f>
        <v>14852.2128693131</v>
      </c>
      <c r="V17" s="23" t="n">
        <f aca="false">V15+V16</f>
        <v>14869.5285298792</v>
      </c>
      <c r="W17" s="23" t="n">
        <f aca="false">W15+W16</f>
        <v>14883.2301555913</v>
      </c>
      <c r="X17" s="23" t="n">
        <f aca="false">X15+X16</f>
        <v>14894.1355937004</v>
      </c>
      <c r="Y17" s="23" t="n">
        <f aca="false">Y15+Y16</f>
        <v>14902.8807947925</v>
      </c>
    </row>
    <row r="18" customFormat="false" ht="15" hidden="false" customHeight="false" outlineLevel="0" collapsed="false">
      <c r="A18" s="5" t="s">
        <v>122</v>
      </c>
      <c r="B18" s="24" t="n">
        <f aca="false">Annahmen!$B$29+Annahmen!$B$30</f>
        <v>355</v>
      </c>
      <c r="C18" s="24" t="n">
        <f aca="false">Annahmen!$B$29+Annahmen!$B$30</f>
        <v>355</v>
      </c>
      <c r="D18" s="24" t="n">
        <f aca="false">Annahmen!$B$29+Annahmen!$B$30</f>
        <v>355</v>
      </c>
      <c r="E18" s="24" t="n">
        <f aca="false">Annahmen!$B$29+Annahmen!$B$30</f>
        <v>355</v>
      </c>
      <c r="F18" s="24" t="n">
        <f aca="false">Annahmen!$B$29+Annahmen!$B$30</f>
        <v>355</v>
      </c>
      <c r="G18" s="24" t="n">
        <f aca="false">Annahmen!$B$29+Annahmen!$B$30</f>
        <v>355</v>
      </c>
      <c r="H18" s="24" t="n">
        <f aca="false">Annahmen!$B$29+Annahmen!$B$30</f>
        <v>355</v>
      </c>
      <c r="I18" s="24" t="n">
        <f aca="false">Annahmen!$B$29+Annahmen!$B$30</f>
        <v>355</v>
      </c>
      <c r="J18" s="24" t="n">
        <f aca="false">Annahmen!$B$29+Annahmen!$B$30</f>
        <v>355</v>
      </c>
      <c r="K18" s="24" t="n">
        <f aca="false">Annahmen!$B$29+Annahmen!$B$30</f>
        <v>355</v>
      </c>
      <c r="L18" s="24" t="n">
        <f aca="false">Annahmen!$B$29+Annahmen!$B$30</f>
        <v>355</v>
      </c>
      <c r="M18" s="24" t="n">
        <f aca="false">Annahmen!$B$29+Annahmen!$B$30</f>
        <v>355</v>
      </c>
      <c r="N18" s="24" t="n">
        <f aca="false">Annahmen!$B$29+Annahmen!$B$30</f>
        <v>355</v>
      </c>
      <c r="O18" s="24" t="n">
        <f aca="false">Annahmen!$B$29+Annahmen!$B$30</f>
        <v>355</v>
      </c>
      <c r="P18" s="24" t="n">
        <f aca="false">Annahmen!$B$29+Annahmen!$B$30</f>
        <v>355</v>
      </c>
      <c r="Q18" s="24" t="n">
        <f aca="false">Annahmen!$B$29+Annahmen!$B$30</f>
        <v>355</v>
      </c>
      <c r="R18" s="24" t="n">
        <f aca="false">Annahmen!$B$29+Annahmen!$B$30</f>
        <v>355</v>
      </c>
      <c r="S18" s="24" t="n">
        <f aca="false">Annahmen!$B$29+Annahmen!$B$30</f>
        <v>355</v>
      </c>
      <c r="T18" s="24" t="n">
        <f aca="false">Annahmen!$B$29+Annahmen!$B$30</f>
        <v>355</v>
      </c>
      <c r="U18" s="24" t="n">
        <f aca="false">Annahmen!$B$29+Annahmen!$B$30</f>
        <v>355</v>
      </c>
      <c r="V18" s="24" t="n">
        <f aca="false">Annahmen!$B$29+Annahmen!$B$30</f>
        <v>355</v>
      </c>
      <c r="W18" s="24" t="n">
        <f aca="false">Annahmen!$B$29+Annahmen!$B$30</f>
        <v>355</v>
      </c>
      <c r="X18" s="24" t="n">
        <f aca="false">Annahmen!$B$29+Annahmen!$B$30</f>
        <v>355</v>
      </c>
      <c r="Y18" s="24" t="n">
        <f aca="false">Annahmen!$B$29+Annahmen!$B$30</f>
        <v>355</v>
      </c>
    </row>
    <row r="19" customFormat="false" ht="15" hidden="false" customHeight="false" outlineLevel="0" collapsed="false">
      <c r="A19" s="7" t="s">
        <v>123</v>
      </c>
      <c r="B19" s="23" t="n">
        <f aca="false">B17-B18</f>
        <v>4339.25</v>
      </c>
      <c r="C19" s="23" t="n">
        <f aca="false">C17-C18</f>
        <v>6206.3075</v>
      </c>
      <c r="D19" s="23" t="n">
        <f aca="false">D17-D18</f>
        <v>9262.31904525316</v>
      </c>
      <c r="E19" s="23" t="n">
        <f aca="false">E17-E18</f>
        <v>10437.1199600961</v>
      </c>
      <c r="F19" s="23" t="n">
        <f aca="false">F17-F18</f>
        <v>11351.9827906368</v>
      </c>
      <c r="G19" s="23" t="n">
        <f aca="false">G17-G18</f>
        <v>12064.3913991486</v>
      </c>
      <c r="H19" s="23" t="n">
        <f aca="false">H17-H18</f>
        <v>12619.1261120263</v>
      </c>
      <c r="I19" s="23" t="n">
        <f aca="false">I17-I18</f>
        <v>13051.0706421779</v>
      </c>
      <c r="J19" s="23" t="n">
        <f aca="false">J17-J18</f>
        <v>13387.3988268361</v>
      </c>
      <c r="K19" s="23" t="n">
        <f aca="false">K17-K18</f>
        <v>13649.2782085279</v>
      </c>
      <c r="L19" s="23" t="n">
        <f aca="false">L17-L18</f>
        <v>13853.1972111509</v>
      </c>
      <c r="M19" s="23" t="n">
        <f aca="false">M17-M18</f>
        <v>14011.9990766475</v>
      </c>
      <c r="N19" s="23" t="n">
        <f aca="false">N17-N18</f>
        <v>14135.6873526491</v>
      </c>
      <c r="O19" s="23" t="n">
        <f aca="false">O17-O18</f>
        <v>14232.0534062588</v>
      </c>
      <c r="P19" s="23" t="n">
        <f aca="false">P17-P18</f>
        <v>14307.1652868307</v>
      </c>
      <c r="Q19" s="23" t="n">
        <f aca="false">Q17-Q18</f>
        <v>14365.7485723544</v>
      </c>
      <c r="R19" s="23" t="n">
        <f aca="false">R17-R18</f>
        <v>14411.4830654415</v>
      </c>
      <c r="S19" s="23" t="n">
        <f aca="false">S17-S18</f>
        <v>14447.2339318003</v>
      </c>
      <c r="T19" s="23" t="n">
        <f aca="false">T17-T18</f>
        <v>14475.2317660454</v>
      </c>
      <c r="U19" s="23" t="n">
        <f aca="false">U17-U18</f>
        <v>14497.2128693131</v>
      </c>
      <c r="V19" s="23" t="n">
        <f aca="false">V17-V18</f>
        <v>14514.5285298792</v>
      </c>
      <c r="W19" s="23" t="n">
        <f aca="false">W17-W18</f>
        <v>14528.2301555913</v>
      </c>
      <c r="X19" s="23" t="n">
        <f aca="false">X17-X18</f>
        <v>14539.1355937004</v>
      </c>
      <c r="Y19" s="23" t="n">
        <f aca="false">Y17-Y18</f>
        <v>14547.8807947925</v>
      </c>
    </row>
    <row r="20" customFormat="false" ht="15" hidden="false" customHeight="false" outlineLevel="0" collapsed="false">
      <c r="A20" s="7" t="s">
        <v>124</v>
      </c>
      <c r="B20" s="16" t="n">
        <f aca="false">B19</f>
        <v>4339.25</v>
      </c>
      <c r="C20" s="16" t="n">
        <f aca="false">B20+C19</f>
        <v>10545.5575</v>
      </c>
      <c r="D20" s="16" t="n">
        <f aca="false">C20+D19</f>
        <v>19807.8765452532</v>
      </c>
      <c r="E20" s="16" t="n">
        <f aca="false">D20+E19</f>
        <v>30244.9965053493</v>
      </c>
      <c r="F20" s="16" t="n">
        <f aca="false">E20+F19</f>
        <v>41596.9792959862</v>
      </c>
      <c r="G20" s="16" t="n">
        <f aca="false">F20+G19</f>
        <v>53661.3706951347</v>
      </c>
      <c r="H20" s="16" t="n">
        <f aca="false">G20+H19</f>
        <v>66280.4968071611</v>
      </c>
      <c r="I20" s="16" t="n">
        <f aca="false">H20+I19</f>
        <v>79331.567449339</v>
      </c>
      <c r="J20" s="16" t="n">
        <f aca="false">I20+J19</f>
        <v>92718.9662761751</v>
      </c>
      <c r="K20" s="16" t="n">
        <f aca="false">J20+K19</f>
        <v>106368.244484703</v>
      </c>
      <c r="L20" s="16" t="n">
        <f aca="false">K20+L19</f>
        <v>120221.441695854</v>
      </c>
      <c r="M20" s="16" t="n">
        <f aca="false">L20+M19</f>
        <v>134233.440772501</v>
      </c>
      <c r="N20" s="16" t="n">
        <f aca="false">M20+N19</f>
        <v>148369.128125151</v>
      </c>
      <c r="O20" s="16" t="n">
        <f aca="false">N20+O19</f>
        <v>162601.181531409</v>
      </c>
      <c r="P20" s="16" t="n">
        <f aca="false">O20+P19</f>
        <v>176908.34681824</v>
      </c>
      <c r="Q20" s="16" t="n">
        <f aca="false">P20+Q19</f>
        <v>191274.095390594</v>
      </c>
      <c r="R20" s="16" t="n">
        <f aca="false">Q20+R19</f>
        <v>205685.578456036</v>
      </c>
      <c r="S20" s="16" t="n">
        <f aca="false">R20+S19</f>
        <v>220132.812387836</v>
      </c>
      <c r="T20" s="16" t="n">
        <f aca="false">S20+T19</f>
        <v>234608.044153882</v>
      </c>
      <c r="U20" s="16" t="n">
        <f aca="false">T20+U19</f>
        <v>249105.257023195</v>
      </c>
      <c r="V20" s="16" t="n">
        <f aca="false">U20+V19</f>
        <v>263619.785553074</v>
      </c>
      <c r="W20" s="16" t="n">
        <f aca="false">V20+W19</f>
        <v>278148.015708665</v>
      </c>
      <c r="X20" s="16" t="n">
        <f aca="false">W20+X19</f>
        <v>292687.151302366</v>
      </c>
      <c r="Y20" s="16" t="n">
        <f aca="false">X20+Y19</f>
        <v>307235.032097158</v>
      </c>
    </row>
    <row r="21" customFormat="false" ht="15" hidden="false" customHeight="false" outlineLevel="0" collapsed="false">
      <c r="A21" s="5" t="s">
        <v>125</v>
      </c>
      <c r="B21" s="21" t="n">
        <f aca="false">B6+B8*Annahmen!$B$32</f>
        <v>103.6875</v>
      </c>
      <c r="C21" s="21" t="n">
        <f aca="false">C6+C8*Annahmen!$B$32</f>
        <v>123.375</v>
      </c>
      <c r="D21" s="21" t="n">
        <f aca="false">D6+D8*Annahmen!$B$32</f>
        <v>170</v>
      </c>
      <c r="E21" s="21" t="n">
        <f aca="false">E6+E8*Annahmen!$B$32</f>
        <v>170</v>
      </c>
      <c r="F21" s="21" t="n">
        <f aca="false">F6+F8*Annahmen!$B$32</f>
        <v>170</v>
      </c>
      <c r="G21" s="21" t="n">
        <f aca="false">G6+G8*Annahmen!$B$32</f>
        <v>170</v>
      </c>
      <c r="H21" s="21" t="n">
        <f aca="false">H6+H8*Annahmen!$B$32</f>
        <v>170</v>
      </c>
      <c r="I21" s="21" t="n">
        <f aca="false">I6+I8*Annahmen!$B$32</f>
        <v>170</v>
      </c>
      <c r="J21" s="21" t="n">
        <f aca="false">J6+J8*Annahmen!$B$32</f>
        <v>170</v>
      </c>
      <c r="K21" s="21" t="n">
        <f aca="false">K6+K8*Annahmen!$B$32</f>
        <v>170</v>
      </c>
      <c r="L21" s="21" t="n">
        <f aca="false">L6+L8*Annahmen!$B$32</f>
        <v>170</v>
      </c>
      <c r="M21" s="21" t="n">
        <f aca="false">M6+M8*Annahmen!$B$32</f>
        <v>170</v>
      </c>
      <c r="N21" s="21" t="n">
        <f aca="false">N6+N8*Annahmen!$B$32</f>
        <v>170</v>
      </c>
      <c r="O21" s="21" t="n">
        <f aca="false">O6+O8*Annahmen!$B$32</f>
        <v>170</v>
      </c>
      <c r="P21" s="21" t="n">
        <f aca="false">P6+P8*Annahmen!$B$32</f>
        <v>170</v>
      </c>
      <c r="Q21" s="21" t="n">
        <f aca="false">Q6+Q8*Annahmen!$B$32</f>
        <v>170</v>
      </c>
      <c r="R21" s="21" t="n">
        <f aca="false">R6+R8*Annahmen!$B$32</f>
        <v>170</v>
      </c>
      <c r="S21" s="21" t="n">
        <f aca="false">S6+S8*Annahmen!$B$32</f>
        <v>170</v>
      </c>
      <c r="T21" s="21" t="n">
        <f aca="false">T6+T8*Annahmen!$B$32</f>
        <v>170</v>
      </c>
      <c r="U21" s="21" t="n">
        <f aca="false">U6+U8*Annahmen!$B$32</f>
        <v>170</v>
      </c>
      <c r="V21" s="21" t="n">
        <f aca="false">V6+V8*Annahmen!$B$32</f>
        <v>170</v>
      </c>
      <c r="W21" s="21" t="n">
        <f aca="false">W6+W8*Annahmen!$B$32</f>
        <v>170</v>
      </c>
      <c r="X21" s="21" t="n">
        <f aca="false">X6+X8*Annahmen!$B$32</f>
        <v>170</v>
      </c>
      <c r="Y21" s="21" t="n">
        <f aca="false">Y6+Y8*Annahmen!$B$32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17" min="5" style="0" width="11"/>
  </cols>
  <sheetData>
    <row r="1" customFormat="false" ht="17.35" hidden="false" customHeight="false" outlineLevel="0" collapsed="false">
      <c r="A1" s="1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4" t="s">
        <v>78</v>
      </c>
      <c r="B4" s="4" t="s">
        <v>14</v>
      </c>
      <c r="C4" s="2"/>
      <c r="D4" s="4" t="s">
        <v>130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131</v>
      </c>
    </row>
    <row r="5" customFormat="false" ht="15" hidden="false" customHeight="false" outlineLevel="0" collapsed="false">
      <c r="A5" s="5" t="s">
        <v>132</v>
      </c>
      <c r="B5" s="12" t="n">
        <v>2600</v>
      </c>
      <c r="C5" s="2"/>
      <c r="D5" s="5" t="s">
        <v>133</v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/>
    </row>
    <row r="6" customFormat="false" ht="15" hidden="false" customHeight="false" outlineLevel="0" collapsed="false">
      <c r="A6" s="5" t="s">
        <v>134</v>
      </c>
      <c r="B6" s="12" t="n">
        <v>79</v>
      </c>
      <c r="C6" s="2"/>
      <c r="D6" s="5" t="s">
        <v>135</v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/>
    </row>
    <row r="7" customFormat="false" ht="15" hidden="false" customHeight="false" outlineLevel="0" collapsed="false">
      <c r="A7" s="5" t="s">
        <v>136</v>
      </c>
      <c r="B7" s="12" t="n">
        <v>520</v>
      </c>
      <c r="C7" s="2"/>
      <c r="D7" s="5" t="s">
        <v>137</v>
      </c>
      <c r="E7" s="21" t="n">
        <f aca="false">MAX(0,E5-1)</f>
        <v>0</v>
      </c>
      <c r="F7" s="21" t="n">
        <f aca="false">MAX(0,F5-1)</f>
        <v>0</v>
      </c>
      <c r="G7" s="21" t="n">
        <f aca="false">MAX(0,G5-1)</f>
        <v>1</v>
      </c>
      <c r="H7" s="21" t="n">
        <f aca="false">MAX(0,H5-1)</f>
        <v>1</v>
      </c>
      <c r="I7" s="21" t="n">
        <f aca="false">MAX(0,I5-1)</f>
        <v>2</v>
      </c>
      <c r="J7" s="21" t="n">
        <f aca="false">MAX(0,J5-1)</f>
        <v>2</v>
      </c>
      <c r="K7" s="21" t="n">
        <f aca="false">MAX(0,K5-1)</f>
        <v>3</v>
      </c>
      <c r="L7" s="21" t="n">
        <f aca="false">MAX(0,L5-1)</f>
        <v>3</v>
      </c>
      <c r="M7" s="21" t="n">
        <f aca="false">MAX(0,M5-1)</f>
        <v>4</v>
      </c>
      <c r="N7" s="21" t="n">
        <f aca="false">MAX(0,N5-1)</f>
        <v>4</v>
      </c>
      <c r="O7" s="21" t="n">
        <f aca="false">MAX(0,O5-1)</f>
        <v>5</v>
      </c>
      <c r="P7" s="21" t="n">
        <f aca="false">MAX(0,P5-1)</f>
        <v>5</v>
      </c>
      <c r="Q7" s="2"/>
    </row>
    <row r="8" customFormat="false" ht="15" hidden="false" customHeight="false" outlineLevel="0" collapsed="false">
      <c r="A8" s="5" t="s">
        <v>138</v>
      </c>
      <c r="B8" s="12" t="n">
        <v>290</v>
      </c>
      <c r="C8" s="2"/>
      <c r="D8" s="5" t="s">
        <v>139</v>
      </c>
      <c r="E8" s="21" t="n">
        <f aca="false">E7</f>
        <v>0</v>
      </c>
      <c r="F8" s="21" t="n">
        <f aca="false">MAX(0,F7-E7)</f>
        <v>0</v>
      </c>
      <c r="G8" s="21" t="n">
        <f aca="false">MAX(0,G7-F7)</f>
        <v>1</v>
      </c>
      <c r="H8" s="21" t="n">
        <f aca="false">MAX(0,H7-G7)</f>
        <v>0</v>
      </c>
      <c r="I8" s="21" t="n">
        <f aca="false">MAX(0,I7-H7)</f>
        <v>1</v>
      </c>
      <c r="J8" s="21" t="n">
        <f aca="false">MAX(0,J7-I7)</f>
        <v>0</v>
      </c>
      <c r="K8" s="21" t="n">
        <f aca="false">MAX(0,K7-J7)</f>
        <v>1</v>
      </c>
      <c r="L8" s="21" t="n">
        <f aca="false">MAX(0,L7-K7)</f>
        <v>0</v>
      </c>
      <c r="M8" s="21" t="n">
        <f aca="false">MAX(0,M7-L7)</f>
        <v>1</v>
      </c>
      <c r="N8" s="21" t="n">
        <f aca="false">MAX(0,N7-M7)</f>
        <v>0</v>
      </c>
      <c r="O8" s="21" t="n">
        <f aca="false">MAX(0,O7-N7)</f>
        <v>1</v>
      </c>
      <c r="P8" s="21" t="n">
        <f aca="false">MAX(0,P7-O7)</f>
        <v>0</v>
      </c>
      <c r="Q8" s="2"/>
    </row>
    <row r="9" customFormat="false" ht="15" hidden="false" customHeight="false" outlineLevel="0" collapsed="false">
      <c r="A9" s="5" t="s">
        <v>140</v>
      </c>
      <c r="B9" s="12" t="n">
        <v>390</v>
      </c>
      <c r="C9" s="2"/>
      <c r="D9" s="5" t="s">
        <v>141</v>
      </c>
      <c r="E9" s="21" t="n">
        <f aca="false">E7-(1-$B$41)*E8</f>
        <v>0</v>
      </c>
      <c r="F9" s="21" t="n">
        <f aca="false">F7-(1-$B$41)*F8-(1-$B$42)*E8</f>
        <v>0</v>
      </c>
      <c r="G9" s="21" t="n">
        <f aca="false">G7-(1-$B$41)*G8-(1-$B$42)*F8-(1-$B$43)*E8</f>
        <v>0.25</v>
      </c>
      <c r="H9" s="21" t="n">
        <f aca="false">H7-(1-$B$41)*H8-(1-$B$42)*G8-(1-$B$43)*F8</f>
        <v>0.5</v>
      </c>
      <c r="I9" s="21" t="n">
        <f aca="false">I7-(1-$B$41)*I8-(1-$B$42)*H8-(1-$B$43)*G8</f>
        <v>1</v>
      </c>
      <c r="J9" s="21" t="n">
        <f aca="false">J7-(1-$B$41)*J8-(1-$B$42)*I8-(1-$B$43)*H8</f>
        <v>1.5</v>
      </c>
      <c r="K9" s="21" t="n">
        <f aca="false">K7-(1-$B$41)*K8-(1-$B$42)*J8-(1-$B$43)*I8</f>
        <v>2</v>
      </c>
      <c r="L9" s="21" t="n">
        <f aca="false">L7-(1-$B$41)*L8-(1-$B$42)*K8-(1-$B$43)*J8</f>
        <v>2.5</v>
      </c>
      <c r="M9" s="21" t="n">
        <f aca="false">M7-(1-$B$41)*M8-(1-$B$42)*L8-(1-$B$43)*K8</f>
        <v>3</v>
      </c>
      <c r="N9" s="21" t="n">
        <f aca="false">N7-(1-$B$41)*N8-(1-$B$42)*M8-(1-$B$43)*L8</f>
        <v>3.5</v>
      </c>
      <c r="O9" s="21" t="n">
        <f aca="false">O7-(1-$B$41)*O8-(1-$B$42)*N8-(1-$B$43)*M8</f>
        <v>4</v>
      </c>
      <c r="P9" s="21" t="n">
        <f aca="false">P7-(1-$B$41)*P8-(1-$B$42)*O8-(1-$B$43)*N8</f>
        <v>4.5</v>
      </c>
      <c r="Q9" s="2"/>
    </row>
    <row r="10" customFormat="false" ht="15" hidden="false" customHeight="false" outlineLevel="0" collapsed="false">
      <c r="A10" s="5" t="s">
        <v>81</v>
      </c>
      <c r="B10" s="12" t="n">
        <v>1190</v>
      </c>
      <c r="C10" s="2"/>
      <c r="D10" s="7" t="s">
        <v>114</v>
      </c>
      <c r="E10" s="20" t="n">
        <f aca="false">$B$24+E9*$B$23</f>
        <v>3</v>
      </c>
      <c r="F10" s="20" t="n">
        <f aca="false">$B$24+F9*$B$23</f>
        <v>3</v>
      </c>
      <c r="G10" s="20" t="n">
        <f aca="false">$B$24+G9*$B$23</f>
        <v>4.25</v>
      </c>
      <c r="H10" s="20" t="n">
        <f aca="false">$B$24+H9*$B$23</f>
        <v>5.5</v>
      </c>
      <c r="I10" s="20" t="n">
        <f aca="false">$B$24+I9*$B$23</f>
        <v>8</v>
      </c>
      <c r="J10" s="20" t="n">
        <f aca="false">$B$24+J9*$B$23</f>
        <v>10.5</v>
      </c>
      <c r="K10" s="20" t="n">
        <f aca="false">$B$24+K9*$B$23</f>
        <v>13</v>
      </c>
      <c r="L10" s="20" t="n">
        <f aca="false">$B$24+L9*$B$23</f>
        <v>15.5</v>
      </c>
      <c r="M10" s="20" t="n">
        <f aca="false">$B$24+M9*$B$23</f>
        <v>18</v>
      </c>
      <c r="N10" s="20" t="n">
        <f aca="false">$B$24+N9*$B$23</f>
        <v>20.5</v>
      </c>
      <c r="O10" s="20" t="n">
        <f aca="false">$B$24+O9*$B$23</f>
        <v>23</v>
      </c>
      <c r="P10" s="20" t="n">
        <f aca="false">$B$24+P9*$B$23</f>
        <v>25.5</v>
      </c>
      <c r="Q10" s="20" t="n">
        <f aca="false">SUM(E10:P10)</f>
        <v>149.75</v>
      </c>
    </row>
    <row r="11" customFormat="false" ht="15" hidden="false" customHeight="false" outlineLevel="0" collapsed="false">
      <c r="A11" s="5" t="s">
        <v>84</v>
      </c>
      <c r="B11" s="12" t="n">
        <v>1490</v>
      </c>
      <c r="C11" s="2"/>
      <c r="D11" s="5" t="s">
        <v>142</v>
      </c>
      <c r="E11" s="21" t="n">
        <f aca="false">E10*$B$13</f>
        <v>1.5</v>
      </c>
      <c r="F11" s="21" t="n">
        <f aca="false">F10*$B$13</f>
        <v>1.5</v>
      </c>
      <c r="G11" s="21" t="n">
        <f aca="false">G10*$B$13</f>
        <v>2.125</v>
      </c>
      <c r="H11" s="21" t="n">
        <f aca="false">H10*$B$13</f>
        <v>2.75</v>
      </c>
      <c r="I11" s="21" t="n">
        <f aca="false">I10*$B$13</f>
        <v>4</v>
      </c>
      <c r="J11" s="21" t="n">
        <f aca="false">J10*$B$13</f>
        <v>5.25</v>
      </c>
      <c r="K11" s="21" t="n">
        <f aca="false">K10*$B$13</f>
        <v>6.5</v>
      </c>
      <c r="L11" s="21" t="n">
        <f aca="false">L10*$B$13</f>
        <v>7.75</v>
      </c>
      <c r="M11" s="21" t="n">
        <f aca="false">M10*$B$13</f>
        <v>9</v>
      </c>
      <c r="N11" s="21" t="n">
        <f aca="false">N10*$B$13</f>
        <v>10.25</v>
      </c>
      <c r="O11" s="21" t="n">
        <f aca="false">O10*$B$13</f>
        <v>11.5</v>
      </c>
      <c r="P11" s="21" t="n">
        <f aca="false">P10*$B$13</f>
        <v>12.75</v>
      </c>
      <c r="Q11" s="20" t="n">
        <f aca="false">SUM(E11:P11)</f>
        <v>74.875</v>
      </c>
    </row>
    <row r="12" customFormat="false" ht="15" hidden="false" customHeight="false" outlineLevel="0" collapsed="false">
      <c r="A12" s="5" t="s">
        <v>143</v>
      </c>
      <c r="B12" s="12" t="n">
        <v>790</v>
      </c>
      <c r="C12" s="2"/>
      <c r="D12" s="5" t="s">
        <v>144</v>
      </c>
      <c r="E12" s="21" t="n">
        <f aca="false">E11*$B$16</f>
        <v>0.525</v>
      </c>
      <c r="F12" s="21" t="n">
        <f aca="false">F11*$B$16</f>
        <v>0.525</v>
      </c>
      <c r="G12" s="21" t="n">
        <f aca="false">G11*$B$16</f>
        <v>0.74375</v>
      </c>
      <c r="H12" s="21" t="n">
        <f aca="false">H11*$B$16</f>
        <v>0.9625</v>
      </c>
      <c r="I12" s="21" t="n">
        <f aca="false">I11*$B$16</f>
        <v>1.4</v>
      </c>
      <c r="J12" s="21" t="n">
        <f aca="false">J11*$B$16</f>
        <v>1.8375</v>
      </c>
      <c r="K12" s="21" t="n">
        <f aca="false">K11*$B$16</f>
        <v>2.275</v>
      </c>
      <c r="L12" s="21" t="n">
        <f aca="false">L11*$B$16</f>
        <v>2.7125</v>
      </c>
      <c r="M12" s="21" t="n">
        <f aca="false">M11*$B$16</f>
        <v>3.15</v>
      </c>
      <c r="N12" s="21" t="n">
        <f aca="false">N11*$B$16</f>
        <v>3.5875</v>
      </c>
      <c r="O12" s="21" t="n">
        <f aca="false">O11*$B$16</f>
        <v>4.025</v>
      </c>
      <c r="P12" s="21" t="n">
        <f aca="false">P11*$B$16</f>
        <v>4.4625</v>
      </c>
      <c r="Q12" s="20" t="n">
        <f aca="false">SUM(E12:P12)</f>
        <v>26.20625</v>
      </c>
    </row>
    <row r="13" customFormat="false" ht="15" hidden="false" customHeight="false" outlineLevel="0" collapsed="false">
      <c r="A13" s="5" t="s">
        <v>145</v>
      </c>
      <c r="B13" s="17" t="n">
        <v>0.5</v>
      </c>
      <c r="C13" s="2"/>
      <c r="D13" s="5" t="s">
        <v>146</v>
      </c>
      <c r="E13" s="21" t="n">
        <f aca="false">E11*$B$17</f>
        <v>0.3</v>
      </c>
      <c r="F13" s="21" t="n">
        <f aca="false">F11*$B$17</f>
        <v>0.3</v>
      </c>
      <c r="G13" s="21" t="n">
        <f aca="false">G11*$B$17</f>
        <v>0.425</v>
      </c>
      <c r="H13" s="21" t="n">
        <f aca="false">H11*$B$17</f>
        <v>0.55</v>
      </c>
      <c r="I13" s="21" t="n">
        <f aca="false">I11*$B$17</f>
        <v>0.8</v>
      </c>
      <c r="J13" s="21" t="n">
        <f aca="false">J11*$B$17</f>
        <v>1.05</v>
      </c>
      <c r="K13" s="21" t="n">
        <f aca="false">K11*$B$17</f>
        <v>1.3</v>
      </c>
      <c r="L13" s="21" t="n">
        <f aca="false">L11*$B$17</f>
        <v>1.55</v>
      </c>
      <c r="M13" s="21" t="n">
        <f aca="false">M11*$B$17</f>
        <v>1.8</v>
      </c>
      <c r="N13" s="21" t="n">
        <f aca="false">N11*$B$17</f>
        <v>2.05</v>
      </c>
      <c r="O13" s="21" t="n">
        <f aca="false">O11*$B$17</f>
        <v>2.3</v>
      </c>
      <c r="P13" s="21" t="n">
        <f aca="false">P11*$B$17</f>
        <v>2.55</v>
      </c>
      <c r="Q13" s="20" t="n">
        <f aca="false">SUM(E13:P13)</f>
        <v>14.975</v>
      </c>
    </row>
    <row r="14" customFormat="false" ht="15" hidden="false" customHeight="false" outlineLevel="0" collapsed="false">
      <c r="A14" s="5" t="s">
        <v>147</v>
      </c>
      <c r="B14" s="17" t="n">
        <v>0.25</v>
      </c>
      <c r="C14" s="2"/>
      <c r="D14" s="5" t="s">
        <v>148</v>
      </c>
      <c r="E14" s="21" t="n">
        <f aca="false">E10*$B$14</f>
        <v>0.75</v>
      </c>
      <c r="F14" s="21" t="n">
        <f aca="false">F10*$B$14</f>
        <v>0.75</v>
      </c>
      <c r="G14" s="21" t="n">
        <f aca="false">G10*$B$14</f>
        <v>1.0625</v>
      </c>
      <c r="H14" s="21" t="n">
        <f aca="false">H10*$B$14</f>
        <v>1.375</v>
      </c>
      <c r="I14" s="21" t="n">
        <f aca="false">I10*$B$14</f>
        <v>2</v>
      </c>
      <c r="J14" s="21" t="n">
        <f aca="false">J10*$B$14</f>
        <v>2.625</v>
      </c>
      <c r="K14" s="21" t="n">
        <f aca="false">K10*$B$14</f>
        <v>3.25</v>
      </c>
      <c r="L14" s="21" t="n">
        <f aca="false">L10*$B$14</f>
        <v>3.875</v>
      </c>
      <c r="M14" s="21" t="n">
        <f aca="false">M10*$B$14</f>
        <v>4.5</v>
      </c>
      <c r="N14" s="21" t="n">
        <f aca="false">N10*$B$14</f>
        <v>5.125</v>
      </c>
      <c r="O14" s="21" t="n">
        <f aca="false">O10*$B$14</f>
        <v>5.75</v>
      </c>
      <c r="P14" s="21" t="n">
        <f aca="false">P10*$B$14</f>
        <v>6.375</v>
      </c>
      <c r="Q14" s="20" t="n">
        <f aca="false">SUM(E14:P14)</f>
        <v>37.4375</v>
      </c>
    </row>
    <row r="15" customFormat="false" ht="15" hidden="false" customHeight="false" outlineLevel="0" collapsed="false">
      <c r="A15" s="5" t="s">
        <v>149</v>
      </c>
      <c r="B15" s="18" t="n">
        <v>0.25</v>
      </c>
      <c r="C15" s="2"/>
      <c r="D15" s="5" t="s">
        <v>150</v>
      </c>
      <c r="E15" s="21" t="n">
        <f aca="false">E10*$B$15</f>
        <v>0.75</v>
      </c>
      <c r="F15" s="21" t="n">
        <f aca="false">F10*$B$15</f>
        <v>0.75</v>
      </c>
      <c r="G15" s="21" t="n">
        <f aca="false">G10*$B$15</f>
        <v>1.0625</v>
      </c>
      <c r="H15" s="21" t="n">
        <f aca="false">H10*$B$15</f>
        <v>1.375</v>
      </c>
      <c r="I15" s="21" t="n">
        <f aca="false">I10*$B$15</f>
        <v>2</v>
      </c>
      <c r="J15" s="21" t="n">
        <f aca="false">J10*$B$15</f>
        <v>2.625</v>
      </c>
      <c r="K15" s="21" t="n">
        <f aca="false">K10*$B$15</f>
        <v>3.25</v>
      </c>
      <c r="L15" s="21" t="n">
        <f aca="false">L10*$B$15</f>
        <v>3.875</v>
      </c>
      <c r="M15" s="21" t="n">
        <f aca="false">M10*$B$15</f>
        <v>4.5</v>
      </c>
      <c r="N15" s="21" t="n">
        <f aca="false">N10*$B$15</f>
        <v>5.125</v>
      </c>
      <c r="O15" s="21" t="n">
        <f aca="false">O10*$B$15</f>
        <v>5.75</v>
      </c>
      <c r="P15" s="21" t="n">
        <f aca="false">P10*$B$15</f>
        <v>6.375</v>
      </c>
      <c r="Q15" s="20" t="n">
        <f aca="false">SUM(E15:P15)</f>
        <v>37.4375</v>
      </c>
    </row>
    <row r="16" customFormat="false" ht="15" hidden="false" customHeight="false" outlineLevel="0" collapsed="false">
      <c r="A16" s="5" t="s">
        <v>151</v>
      </c>
      <c r="B16" s="17" t="n">
        <v>0.35</v>
      </c>
      <c r="C16" s="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</row>
    <row r="17" customFormat="false" ht="15" hidden="false" customHeight="false" outlineLevel="0" collapsed="false">
      <c r="A17" s="5" t="s">
        <v>152</v>
      </c>
      <c r="B17" s="17" t="n">
        <v>0.2</v>
      </c>
      <c r="C17" s="2"/>
      <c r="D17" s="5" t="s">
        <v>115</v>
      </c>
      <c r="E17" s="21" t="n">
        <f aca="false">$B$46*(1-$B$18)+E11</f>
        <v>5.76406091681323</v>
      </c>
      <c r="F17" s="21" t="n">
        <f aca="false">E17*(1-$B$18)+F11</f>
        <v>7.2064203076451</v>
      </c>
      <c r="G17" s="21" t="n">
        <f aca="false">F17*(1-$B$18)+G11</f>
        <v>9.25935610456865</v>
      </c>
      <c r="H17" s="21" t="n">
        <f aca="false">G17*(1-$B$18)+H11</f>
        <v>11.916762543523</v>
      </c>
      <c r="I17" s="21" t="n">
        <f aca="false">H17*(1-$B$18)+I11</f>
        <v>15.7975949180877</v>
      </c>
      <c r="J17" s="21" t="n">
        <f aca="false">I17*(1-$B$18)+J11</f>
        <v>20.8896189689069</v>
      </c>
      <c r="K17" s="21" t="n">
        <f aca="false">J17*(1-$B$18)+K11</f>
        <v>27.1807227792178</v>
      </c>
      <c r="L17" s="21" t="n">
        <f aca="false">K17*(1-$B$18)+L11</f>
        <v>34.6589155514256</v>
      </c>
      <c r="M17" s="21" t="n">
        <f aca="false">L17*(1-$B$18)+M11</f>
        <v>43.3123263959114</v>
      </c>
      <c r="N17" s="21" t="n">
        <f aca="false">M17*(1-$B$18)+N11</f>
        <v>53.1292031319522</v>
      </c>
      <c r="O17" s="21" t="n">
        <f aca="false">N17*(1-$B$18)+O11</f>
        <v>64.0979111006327</v>
      </c>
      <c r="P17" s="21" t="n">
        <f aca="false">O17*(1-$B$18)+P11</f>
        <v>76.2069319896264</v>
      </c>
      <c r="Q17" s="2"/>
    </row>
    <row r="18" customFormat="false" ht="15" hidden="false" customHeight="false" outlineLevel="0" collapsed="false">
      <c r="A18" s="5" t="s">
        <v>153</v>
      </c>
      <c r="B18" s="17" t="n">
        <v>0.01</v>
      </c>
      <c r="C18" s="2"/>
      <c r="D18" s="5" t="s">
        <v>117</v>
      </c>
      <c r="E18" s="21" t="n">
        <f aca="false">$B$47*(1-$B$19)+E12</f>
        <v>4.46782071904846</v>
      </c>
      <c r="F18" s="21" t="n">
        <f aca="false">E18*(1-$B$19)+F12</f>
        <v>4.85878609747701</v>
      </c>
      <c r="G18" s="21" t="n">
        <f aca="false">F18*(1-$B$19)+G12</f>
        <v>5.4567725145527</v>
      </c>
      <c r="H18" s="21" t="n">
        <f aca="false">G18*(1-$B$19)+H12</f>
        <v>6.25556933911612</v>
      </c>
      <c r="I18" s="21" t="n">
        <f aca="false">H18*(1-$B$19)+I12</f>
        <v>7.46790225894264</v>
      </c>
      <c r="J18" s="21" t="n">
        <f aca="false">I18*(1-$B$19)+J12</f>
        <v>9.08136519117436</v>
      </c>
      <c r="K18" s="21" t="n">
        <f aca="false">J18*(1-$B$19)+K12</f>
        <v>11.0839242354391</v>
      </c>
      <c r="L18" s="21" t="n">
        <f aca="false">K18*(1-$B$19)+L12</f>
        <v>13.463906508376</v>
      </c>
      <c r="M18" s="21" t="n">
        <f aca="false">L18*(1-$B$19)+M12</f>
        <v>16.2099893131247</v>
      </c>
      <c r="N18" s="21" t="n">
        <f aca="false">M18*(1-$B$19)+N12</f>
        <v>19.3111896337309</v>
      </c>
      <c r="O18" s="21" t="n">
        <f aca="false">N18*(1-$B$19)+O12</f>
        <v>22.756853944719</v>
      </c>
      <c r="P18" s="21" t="n">
        <f aca="false">O18*(1-$B$19)+P12</f>
        <v>26.5366483263774</v>
      </c>
      <c r="Q18" s="2"/>
    </row>
    <row r="19" customFormat="false" ht="15" hidden="false" customHeight="false" outlineLevel="0" collapsed="false">
      <c r="A19" s="5" t="s">
        <v>154</v>
      </c>
      <c r="B19" s="17" t="n">
        <v>0.03</v>
      </c>
      <c r="C19" s="2"/>
      <c r="D19" s="5" t="s">
        <v>155</v>
      </c>
      <c r="E19" s="21" t="n">
        <f aca="false">$B$50*(1-$B$20)+E13</f>
        <v>0.3</v>
      </c>
      <c r="F19" s="21" t="n">
        <f aca="false">E19*(1-$B$20)+F13</f>
        <v>0.588</v>
      </c>
      <c r="G19" s="21" t="n">
        <f aca="false">F19*(1-$B$20)+G13</f>
        <v>0.98948</v>
      </c>
      <c r="H19" s="21" t="n">
        <f aca="false">G19*(1-$B$20)+H13</f>
        <v>1.4999008</v>
      </c>
      <c r="I19" s="21" t="n">
        <f aca="false">H19*(1-$B$20)+I13</f>
        <v>2.239904768</v>
      </c>
      <c r="J19" s="21" t="n">
        <f aca="false">I19*(1-$B$20)+J13</f>
        <v>3.20030857728</v>
      </c>
      <c r="K19" s="21" t="n">
        <f aca="false">J19*(1-$B$20)+K13</f>
        <v>4.3722962341888</v>
      </c>
      <c r="L19" s="21" t="n">
        <f aca="false">K19*(1-$B$20)+L13</f>
        <v>5.74740438482125</v>
      </c>
      <c r="M19" s="21" t="n">
        <f aca="false">L19*(1-$B$20)+M13</f>
        <v>7.3175082094284</v>
      </c>
      <c r="N19" s="21" t="n">
        <f aca="false">M19*(1-$B$20)+N13</f>
        <v>9.07480788105126</v>
      </c>
      <c r="O19" s="21" t="n">
        <f aca="false">N19*(1-$B$20)+O13</f>
        <v>11.0118155658092</v>
      </c>
      <c r="P19" s="21" t="n">
        <f aca="false">O19*(1-$B$20)+P13</f>
        <v>13.1213429431768</v>
      </c>
      <c r="Q19" s="2"/>
    </row>
    <row r="20" customFormat="false" ht="15" hidden="false" customHeight="false" outlineLevel="0" collapsed="false">
      <c r="A20" s="5" t="s">
        <v>156</v>
      </c>
      <c r="B20" s="17" t="n">
        <v>0.04</v>
      </c>
      <c r="C20" s="2"/>
      <c r="D20" s="5" t="s">
        <v>116</v>
      </c>
      <c r="E20" s="21" t="n">
        <f aca="false">$B$48*(1-$B$21)+E14</f>
        <v>4.85037662184676</v>
      </c>
      <c r="F20" s="21" t="n">
        <f aca="false">E20*(1-$B$21)+F14</f>
        <v>5.50336908940982</v>
      </c>
      <c r="G20" s="21" t="n">
        <f aca="false">F20*(1-$B$21)+G14</f>
        <v>6.45580170762162</v>
      </c>
      <c r="H20" s="21" t="n">
        <f aca="false">G20*(1-$B$21)+H14</f>
        <v>7.70168567346919</v>
      </c>
      <c r="I20" s="21" t="n">
        <f aca="false">H20*(1-$B$21)+I14</f>
        <v>9.54765195999981</v>
      </c>
      <c r="J20" s="21" t="n">
        <f aca="false">I20*(1-$B$21)+J14</f>
        <v>11.9816989207998</v>
      </c>
      <c r="K20" s="21" t="n">
        <f aca="false">J20*(1-$B$21)+K14</f>
        <v>14.9920649423838</v>
      </c>
      <c r="L20" s="21" t="n">
        <f aca="false">K20*(1-$B$21)+L14</f>
        <v>18.5672236435361</v>
      </c>
      <c r="M20" s="21" t="n">
        <f aca="false">L20*(1-$B$21)+M14</f>
        <v>22.6958791706654</v>
      </c>
      <c r="N20" s="21" t="n">
        <f aca="false">M20*(1-$B$21)+N14</f>
        <v>27.3669615872521</v>
      </c>
      <c r="O20" s="21" t="n">
        <f aca="false">N20*(1-$B$21)+O14</f>
        <v>32.5696223555071</v>
      </c>
      <c r="P20" s="21" t="n">
        <f aca="false">O20*(1-$B$21)+P14</f>
        <v>38.2932299083969</v>
      </c>
      <c r="Q20" s="2"/>
    </row>
    <row r="21" customFormat="false" ht="15" hidden="false" customHeight="false" outlineLevel="0" collapsed="false">
      <c r="A21" s="5" t="s">
        <v>157</v>
      </c>
      <c r="B21" s="17" t="n">
        <v>0.02</v>
      </c>
      <c r="C21" s="2"/>
      <c r="D21" s="5" t="s">
        <v>118</v>
      </c>
      <c r="E21" s="21" t="n">
        <f aca="false">$B$49*(1-$B$22)+E15</f>
        <v>4.39523928066631</v>
      </c>
      <c r="F21" s="21" t="n">
        <f aca="false">E21*(1-$B$22)+F15</f>
        <v>4.92547731663299</v>
      </c>
      <c r="G21" s="21" t="n">
        <f aca="false">F21*(1-$B$22)+G15</f>
        <v>5.74170345080134</v>
      </c>
      <c r="H21" s="21" t="n">
        <f aca="false">G21*(1-$B$22)+H15</f>
        <v>6.82961827826128</v>
      </c>
      <c r="I21" s="21" t="n">
        <f aca="false">H21*(1-$B$22)+I15</f>
        <v>8.48813736434821</v>
      </c>
      <c r="J21" s="21" t="n">
        <f aca="false">I21*(1-$B$22)+J15</f>
        <v>10.6887304961308</v>
      </c>
      <c r="K21" s="21" t="n">
        <f aca="false">J21*(1-$B$22)+K15</f>
        <v>13.4042939713243</v>
      </c>
      <c r="L21" s="21" t="n">
        <f aca="false">K21*(1-$B$22)+L15</f>
        <v>16.609079272758</v>
      </c>
      <c r="M21" s="21" t="n">
        <f aca="false">L21*(1-$B$22)+M15</f>
        <v>20.2786253091201</v>
      </c>
      <c r="N21" s="21" t="n">
        <f aca="false">M21*(1-$B$22)+N15</f>
        <v>24.3896940436641</v>
      </c>
      <c r="O21" s="21" t="n">
        <f aca="false">N21*(1-$B$22)+O15</f>
        <v>28.9202093414809</v>
      </c>
      <c r="P21" s="21" t="n">
        <f aca="false">O21*(1-$B$22)+P15</f>
        <v>33.8491988744069</v>
      </c>
      <c r="Q21" s="2"/>
    </row>
    <row r="22" customFormat="false" ht="15" hidden="false" customHeight="false" outlineLevel="0" collapsed="false">
      <c r="A22" s="5" t="s">
        <v>158</v>
      </c>
      <c r="B22" s="17" t="n">
        <v>0.05</v>
      </c>
      <c r="C22" s="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</row>
    <row r="23" customFormat="false" ht="15" hidden="false" customHeight="false" outlineLevel="0" collapsed="false">
      <c r="A23" s="5" t="s">
        <v>159</v>
      </c>
      <c r="B23" s="19" t="n">
        <v>5</v>
      </c>
      <c r="C23" s="2"/>
      <c r="D23" s="7" t="s">
        <v>119</v>
      </c>
      <c r="E23" s="16" t="n">
        <f aca="false">E17*$B$6+E18*$B$7+E19*$B$8+E20*$B$10+E21*$B$12</f>
        <v>12109.8147980575</v>
      </c>
      <c r="F23" s="16" t="n">
        <f aca="false">F17*$B$6+F18*$B$7+F19*$B$8+F20*$B$10+F21*$B$12</f>
        <v>13706.5322715298</v>
      </c>
      <c r="G23" s="16" t="n">
        <f aca="false">G17*$B$6+G18*$B$7+G19*$B$8+G20*$B$10+G21*$B$12</f>
        <v>16074.3097980311</v>
      </c>
      <c r="H23" s="16" t="n">
        <f aca="false">H17*$B$6+H18*$B$7+H19*$B$8+H20*$B$10+H21*$B$12</f>
        <v>19189.6959205334</v>
      </c>
      <c r="I23" s="16" t="n">
        <f aca="false">I17*$B$6+I18*$B$7+I19*$B$8+I20*$B$10+I21*$B$12</f>
        <v>23848.225906134</v>
      </c>
      <c r="J23" s="16" t="n">
        <f aca="false">J17*$B$6+J18*$B$7+J19*$B$8+J20*$B$10+J21*$B$12</f>
        <v>30002.9980930606</v>
      </c>
      <c r="K23" s="16" t="n">
        <f aca="false">K17*$B$6+K18*$B$7+K19*$B$8+K20*$B$10+K21*$B$12</f>
        <v>37608.8331286842</v>
      </c>
      <c r="L23" s="16" t="n">
        <f aca="false">L17*$B$6+L18*$B$7+L19*$B$8+L20*$B$10+L21*$B$12</f>
        <v>46622.2017458031</v>
      </c>
      <c r="M23" s="16" t="n">
        <f aca="false">M17*$B$6+M18*$B$7+M19*$B$8+M20*$B$10+M21*$B$12</f>
        <v>57001.1558161328</v>
      </c>
      <c r="N23" s="16" t="n">
        <f aca="false">N17*$B$6+N18*$B$7+N19*$B$8+N20*$B$10+N21*$B$12</f>
        <v>68705.2625257939</v>
      </c>
      <c r="O23" s="16" t="n">
        <f aca="false">O17*$B$6+O18*$B$7+O19*$B$8+O20*$B$10+O21*$B$12</f>
        <v>81695.5415251119</v>
      </c>
      <c r="P23" s="16" t="n">
        <f aca="false">P17*$B$6+P18*$B$7+P19*$B$8+P20*$B$10+P21*$B$12</f>
        <v>95934.4049121918</v>
      </c>
      <c r="Q23" s="2"/>
    </row>
    <row r="24" customFormat="false" ht="15" hidden="false" customHeight="false" outlineLevel="0" collapsed="false">
      <c r="A24" s="5" t="s">
        <v>160</v>
      </c>
      <c r="B24" s="13" t="n">
        <v>3</v>
      </c>
      <c r="C24" s="2"/>
      <c r="D24" s="5" t="s">
        <v>120</v>
      </c>
      <c r="E24" s="24" t="n">
        <f aca="false">E11*$B$5+E13*$B$9+E15*$B$11</f>
        <v>5134.5</v>
      </c>
      <c r="F24" s="24" t="n">
        <f aca="false">F11*$B$5+F13*$B$9+F15*$B$11</f>
        <v>5134.5</v>
      </c>
      <c r="G24" s="24" t="n">
        <f aca="false">G11*$B$5+G13*$B$9+G15*$B$11</f>
        <v>7273.875</v>
      </c>
      <c r="H24" s="24" t="n">
        <f aca="false">H11*$B$5+H13*$B$9+H15*$B$11</f>
        <v>9413.25</v>
      </c>
      <c r="I24" s="24" t="n">
        <f aca="false">I11*$B$5+I13*$B$9+I15*$B$11</f>
        <v>13692</v>
      </c>
      <c r="J24" s="24" t="n">
        <f aca="false">J11*$B$5+J13*$B$9+J15*$B$11</f>
        <v>17970.75</v>
      </c>
      <c r="K24" s="24" t="n">
        <f aca="false">K11*$B$5+K13*$B$9+K15*$B$11</f>
        <v>22249.5</v>
      </c>
      <c r="L24" s="24" t="n">
        <f aca="false">L11*$B$5+L13*$B$9+L15*$B$11</f>
        <v>26528.25</v>
      </c>
      <c r="M24" s="24" t="n">
        <f aca="false">M11*$B$5+M13*$B$9+M15*$B$11</f>
        <v>30807</v>
      </c>
      <c r="N24" s="24" t="n">
        <f aca="false">N11*$B$5+N13*$B$9+N15*$B$11</f>
        <v>35085.75</v>
      </c>
      <c r="O24" s="24" t="n">
        <f aca="false">O11*$B$5+O13*$B$9+O15*$B$11</f>
        <v>39364.5</v>
      </c>
      <c r="P24" s="24" t="n">
        <f aca="false">P11*$B$5+P13*$B$9+P15*$B$11</f>
        <v>43643.25</v>
      </c>
      <c r="Q24" s="16" t="n">
        <f aca="false">SUM(E24:P24)</f>
        <v>256297.125</v>
      </c>
    </row>
    <row r="25" customFormat="false" ht="15" hidden="false" customHeight="false" outlineLevel="0" collapsed="false">
      <c r="A25" s="5" t="s">
        <v>161</v>
      </c>
      <c r="B25" s="12" t="n">
        <v>3500</v>
      </c>
      <c r="C25" s="2"/>
      <c r="D25" s="7" t="s">
        <v>121</v>
      </c>
      <c r="E25" s="16" t="n">
        <f aca="false">E23+E24</f>
        <v>17244.3147980575</v>
      </c>
      <c r="F25" s="16" t="n">
        <f aca="false">F23+F24</f>
        <v>18841.0322715298</v>
      </c>
      <c r="G25" s="16" t="n">
        <f aca="false">G23+G24</f>
        <v>23348.1847980311</v>
      </c>
      <c r="H25" s="16" t="n">
        <f aca="false">H23+H24</f>
        <v>28602.9459205334</v>
      </c>
      <c r="I25" s="16" t="n">
        <f aca="false">I23+I24</f>
        <v>37540.225906134</v>
      </c>
      <c r="J25" s="16" t="n">
        <f aca="false">J23+J24</f>
        <v>47973.7480930606</v>
      </c>
      <c r="K25" s="16" t="n">
        <f aca="false">K23+K24</f>
        <v>59858.3331286842</v>
      </c>
      <c r="L25" s="16" t="n">
        <f aca="false">L23+L24</f>
        <v>73150.4517458031</v>
      </c>
      <c r="M25" s="16" t="n">
        <f aca="false">M23+M24</f>
        <v>87808.1558161328</v>
      </c>
      <c r="N25" s="16" t="n">
        <f aca="false">N23+N24</f>
        <v>103791.012525794</v>
      </c>
      <c r="O25" s="16" t="n">
        <f aca="false">O23+O24</f>
        <v>121060.041525112</v>
      </c>
      <c r="P25" s="16" t="n">
        <f aca="false">P23+P24</f>
        <v>139577.654912192</v>
      </c>
      <c r="Q25" s="16" t="n">
        <f aca="false">SUM(E25:P25)</f>
        <v>758796.101441064</v>
      </c>
    </row>
    <row r="26" customFormat="false" ht="15" hidden="false" customHeight="false" outlineLevel="0" collapsed="false">
      <c r="A26" s="5" t="s">
        <v>162</v>
      </c>
      <c r="B26" s="12" t="n">
        <v>2600</v>
      </c>
      <c r="C26" s="2"/>
      <c r="D26" s="5" t="s">
        <v>163</v>
      </c>
      <c r="E26" s="24" t="n">
        <f aca="false">E25*12</f>
        <v>206931.77757669</v>
      </c>
      <c r="F26" s="24" t="n">
        <f aca="false">F25*12</f>
        <v>226092.387258357</v>
      </c>
      <c r="G26" s="24" t="n">
        <f aca="false">G25*12</f>
        <v>280178.217576374</v>
      </c>
      <c r="H26" s="24" t="n">
        <f aca="false">H25*12</f>
        <v>343235.351046401</v>
      </c>
      <c r="I26" s="24" t="n">
        <f aca="false">I25*12</f>
        <v>450482.710873608</v>
      </c>
      <c r="J26" s="24" t="n">
        <f aca="false">J25*12</f>
        <v>575684.977116727</v>
      </c>
      <c r="K26" s="24" t="n">
        <f aca="false">K25*12</f>
        <v>718299.997544211</v>
      </c>
      <c r="L26" s="24" t="n">
        <f aca="false">L25*12</f>
        <v>877805.420949638</v>
      </c>
      <c r="M26" s="24" t="n">
        <f aca="false">M25*12</f>
        <v>1053697.86979359</v>
      </c>
      <c r="N26" s="24" t="n">
        <f aca="false">N25*12</f>
        <v>1245492.15030953</v>
      </c>
      <c r="O26" s="24" t="n">
        <f aca="false">O25*12</f>
        <v>1452720.49830134</v>
      </c>
      <c r="P26" s="24" t="n">
        <f aca="false">P25*12</f>
        <v>1674931.8589463</v>
      </c>
      <c r="Q26" s="2"/>
    </row>
    <row r="27" customFormat="false" ht="15" hidden="false" customHeight="false" outlineLevel="0" collapsed="false">
      <c r="A27" s="5" t="s">
        <v>164</v>
      </c>
      <c r="B27" s="17" t="n">
        <v>0.08</v>
      </c>
      <c r="C27" s="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</row>
    <row r="28" customFormat="false" ht="15" hidden="false" customHeight="false" outlineLevel="0" collapsed="false">
      <c r="A28" s="5" t="s">
        <v>165</v>
      </c>
      <c r="B28" s="17" t="n">
        <v>0.5</v>
      </c>
      <c r="C28" s="2"/>
      <c r="D28" s="5" t="s">
        <v>166</v>
      </c>
      <c r="E28" s="21" t="n">
        <f aca="false">E11*$B$30+E18*$B$31+E19*$B$32+E20*$B$33+E15*$B$34+E21*$B$35+E17*$B$36</f>
        <v>160.757713638007</v>
      </c>
      <c r="F28" s="21" t="n">
        <f aca="false">F11*$B$30+F18*$B$31+F19*$B$32+F20*$B$33+F15*$B$34+F21*$B$35+F17*$B$36</f>
        <v>176.600782055914</v>
      </c>
      <c r="G28" s="21" t="n">
        <f aca="false">G11*$B$30+G18*$B$31+G19*$B$32+G20*$B$33+G15*$B$34+G21*$B$35+G17*$B$36</f>
        <v>215.729228273377</v>
      </c>
      <c r="H28" s="21" t="n">
        <f aca="false">H11*$B$30+H18*$B$31+H19*$B$32+H20*$B$33+H15*$B$34+H21*$B$35+H17*$B$36</f>
        <v>262.287388900682</v>
      </c>
      <c r="I28" s="21" t="n">
        <f aca="false">I11*$B$30+I18*$B$31+I19*$B$32+I20*$B$33+I15*$B$34+I21*$B$35+I17*$B$36</f>
        <v>339.802843363517</v>
      </c>
      <c r="J28" s="21" t="n">
        <f aca="false">J11*$B$30+J18*$B$31+J19*$B$32+J20*$B$33+J15*$B$34+J21*$B$35+J17*$B$36</f>
        <v>432.189202012871</v>
      </c>
      <c r="K28" s="21" t="n">
        <f aca="false">K11*$B$30+K18*$B$31+K19*$B$32+K20*$B$33+K15*$B$34+K21*$B$35+K17*$B$36</f>
        <v>539.001552999226</v>
      </c>
      <c r="L28" s="21" t="n">
        <f aca="false">L11*$B$30+L18*$B$31+L19*$B$32+L20*$B$33+L15*$B$34+L21*$B$35+L17*$B$36</f>
        <v>659.810789145423</v>
      </c>
      <c r="M28" s="21" t="n">
        <f aca="false">M11*$B$30+M18*$B$31+M19*$B$32+M20*$B$33+M15*$B$34+M21*$B$35+M17*$B$36</f>
        <v>794.202964808298</v>
      </c>
      <c r="N28" s="21" t="n">
        <f aca="false">N11*$B$30+N18*$B$31+N19*$B$32+N20*$B$33+N15*$B$34+N21*$B$35+N17*$B$36</f>
        <v>941.778681325051</v>
      </c>
      <c r="O28" s="21" t="n">
        <f aca="false">O11*$B$30+O18*$B$31+O19*$B$32+O20*$B$33+O15*$B$34+O21*$B$35+O17*$B$36</f>
        <v>1102.15249970789</v>
      </c>
      <c r="P28" s="21" t="n">
        <f aca="false">P11*$B$30+P18*$B$31+P19*$B$32+P20*$B$33+P15*$B$34+P21*$B$35+P17*$B$36</f>
        <v>1274.95237931469</v>
      </c>
      <c r="Q28" s="20" t="n">
        <f aca="false">SUM(E28:P28)</f>
        <v>6899.26602554495</v>
      </c>
    </row>
    <row r="29" customFormat="false" ht="15" hidden="false" customHeight="false" outlineLevel="0" collapsed="false">
      <c r="A29" s="5" t="s">
        <v>167</v>
      </c>
      <c r="B29" s="25" t="n">
        <v>900</v>
      </c>
      <c r="C29" s="2"/>
      <c r="D29" s="5" t="s">
        <v>168</v>
      </c>
      <c r="E29" s="21" t="n">
        <f aca="false">E28/140</f>
        <v>1.14826938312862</v>
      </c>
      <c r="F29" s="21" t="n">
        <f aca="false">F28/140</f>
        <v>1.26143415754224</v>
      </c>
      <c r="G29" s="21" t="n">
        <f aca="false">G28/140</f>
        <v>1.54092305909555</v>
      </c>
      <c r="H29" s="21" t="n">
        <f aca="false">H28/140</f>
        <v>1.87348134929059</v>
      </c>
      <c r="I29" s="21" t="n">
        <f aca="false">I28/140</f>
        <v>2.42716316688227</v>
      </c>
      <c r="J29" s="21" t="n">
        <f aca="false">J28/140</f>
        <v>3.08706572866337</v>
      </c>
      <c r="K29" s="21" t="n">
        <f aca="false">K28/140</f>
        <v>3.85001109285161</v>
      </c>
      <c r="L29" s="21" t="n">
        <f aca="false">L28/140</f>
        <v>4.71293420818159</v>
      </c>
      <c r="M29" s="21" t="n">
        <f aca="false">M28/140</f>
        <v>5.67287832005927</v>
      </c>
      <c r="N29" s="21" t="n">
        <f aca="false">N28/140</f>
        <v>6.72699058089322</v>
      </c>
      <c r="O29" s="21" t="n">
        <f aca="false">O28/140</f>
        <v>7.87251785505636</v>
      </c>
      <c r="P29" s="21" t="n">
        <f aca="false">P28/140</f>
        <v>9.10680270939065</v>
      </c>
      <c r="Q29" s="2"/>
    </row>
    <row r="30" customFormat="false" ht="15" hidden="false" customHeight="false" outlineLevel="0" collapsed="false">
      <c r="A30" s="5" t="s">
        <v>169</v>
      </c>
      <c r="B30" s="13" t="n">
        <v>20</v>
      </c>
      <c r="C30" s="2"/>
      <c r="D30" s="5" t="s">
        <v>170</v>
      </c>
      <c r="E30" s="24" t="n">
        <f aca="false">E28*$B$37</f>
        <v>7394.85482734831</v>
      </c>
      <c r="F30" s="24" t="n">
        <f aca="false">F28*$B$37</f>
        <v>8123.63597457206</v>
      </c>
      <c r="G30" s="24" t="n">
        <f aca="false">G28*$B$37</f>
        <v>9923.54450057536</v>
      </c>
      <c r="H30" s="24" t="n">
        <f aca="false">H28*$B$37</f>
        <v>12065.2198894314</v>
      </c>
      <c r="I30" s="24" t="n">
        <f aca="false">I28*$B$37</f>
        <v>15630.9307947218</v>
      </c>
      <c r="J30" s="24" t="n">
        <f aca="false">J28*$B$37</f>
        <v>19880.7032925921</v>
      </c>
      <c r="K30" s="24" t="n">
        <f aca="false">K28*$B$37</f>
        <v>24794.0714379644</v>
      </c>
      <c r="L30" s="24" t="n">
        <f aca="false">L28*$B$37</f>
        <v>30351.2963006895</v>
      </c>
      <c r="M30" s="24" t="n">
        <f aca="false">M28*$B$37</f>
        <v>36533.3363811817</v>
      </c>
      <c r="N30" s="24" t="n">
        <f aca="false">N28*$B$37</f>
        <v>43321.8193409524</v>
      </c>
      <c r="O30" s="24" t="n">
        <f aca="false">O28*$B$37</f>
        <v>50699.0149865629</v>
      </c>
      <c r="P30" s="24" t="n">
        <f aca="false">P28*$B$37</f>
        <v>58647.8094484758</v>
      </c>
      <c r="Q30" s="16" t="n">
        <f aca="false">SUM(E30:P30)</f>
        <v>317366.237175068</v>
      </c>
    </row>
    <row r="31" customFormat="false" ht="15" hidden="false" customHeight="false" outlineLevel="0" collapsed="false">
      <c r="A31" s="5" t="s">
        <v>99</v>
      </c>
      <c r="B31" s="13" t="n">
        <v>6</v>
      </c>
      <c r="C31" s="2"/>
      <c r="D31" s="5" t="s">
        <v>171</v>
      </c>
      <c r="E31" s="24" t="n">
        <f aca="false">E7*$B$25+E6*$B$26+E25*$B$27</f>
        <v>1379.5451838446</v>
      </c>
      <c r="F31" s="24" t="n">
        <f aca="false">F7*$B$25+F6*$B$26+F25*$B$27</f>
        <v>4107.28258172238</v>
      </c>
      <c r="G31" s="24" t="n">
        <f aca="false">G7*$B$25+G6*$B$26+G25*$B$27</f>
        <v>7967.85478384249</v>
      </c>
      <c r="H31" s="24" t="n">
        <f aca="false">H7*$B$25+H6*$B$26+H25*$B$27</f>
        <v>10988.2356736427</v>
      </c>
      <c r="I31" s="24" t="n">
        <f aca="false">I7*$B$25+I6*$B$26+I25*$B$27</f>
        <v>15203.2180724907</v>
      </c>
      <c r="J31" s="24" t="n">
        <f aca="false">J7*$B$25+J6*$B$26+J25*$B$27</f>
        <v>18637.8998474449</v>
      </c>
      <c r="K31" s="24" t="n">
        <f aca="false">K7*$B$25+K6*$B$26+K25*$B$27</f>
        <v>23088.6666502947</v>
      </c>
      <c r="L31" s="24" t="n">
        <f aca="false">L7*$B$25+L6*$B$26+L25*$B$27</f>
        <v>26752.0361396643</v>
      </c>
      <c r="M31" s="24" t="n">
        <f aca="false">M7*$B$25+M6*$B$26+M25*$B$27</f>
        <v>31424.6524652906</v>
      </c>
      <c r="N31" s="24" t="n">
        <f aca="false">N7*$B$25+N6*$B$26+N25*$B$27</f>
        <v>35303.2810020635</v>
      </c>
      <c r="O31" s="24" t="n">
        <f aca="false">O7*$B$25+O6*$B$26+O25*$B$27</f>
        <v>40184.803322009</v>
      </c>
      <c r="P31" s="24" t="n">
        <f aca="false">P7*$B$25+P6*$B$26+P25*$B$27</f>
        <v>44266.2123929753</v>
      </c>
      <c r="Q31" s="16" t="n">
        <f aca="false">SUM(E31:P31)</f>
        <v>259303.688115285</v>
      </c>
    </row>
    <row r="32" customFormat="false" ht="15" hidden="false" customHeight="false" outlineLevel="0" collapsed="false">
      <c r="A32" s="5" t="s">
        <v>172</v>
      </c>
      <c r="B32" s="13" t="n">
        <v>3</v>
      </c>
      <c r="C32" s="2"/>
      <c r="D32" s="5" t="s">
        <v>173</v>
      </c>
      <c r="E32" s="24" t="n">
        <f aca="false">E10*$B$28*$B$29</f>
        <v>1350</v>
      </c>
      <c r="F32" s="24" t="n">
        <f aca="false">F10*$B$28*$B$29</f>
        <v>1350</v>
      </c>
      <c r="G32" s="24" t="n">
        <f aca="false">G10*$B$28*$B$29</f>
        <v>1912.5</v>
      </c>
      <c r="H32" s="24" t="n">
        <f aca="false">H10*$B$28*$B$29</f>
        <v>2475</v>
      </c>
      <c r="I32" s="24" t="n">
        <f aca="false">I10*$B$28*$B$29</f>
        <v>3600</v>
      </c>
      <c r="J32" s="24" t="n">
        <f aca="false">J10*$B$28*$B$29</f>
        <v>4725</v>
      </c>
      <c r="K32" s="24" t="n">
        <f aca="false">K10*$B$28*$B$29</f>
        <v>5850</v>
      </c>
      <c r="L32" s="24" t="n">
        <f aca="false">L10*$B$28*$B$29</f>
        <v>6975</v>
      </c>
      <c r="M32" s="24" t="n">
        <f aca="false">M10*$B$28*$B$29</f>
        <v>8100</v>
      </c>
      <c r="N32" s="24" t="n">
        <f aca="false">N10*$B$28*$B$29</f>
        <v>9225</v>
      </c>
      <c r="O32" s="24" t="n">
        <f aca="false">O10*$B$28*$B$29</f>
        <v>10350</v>
      </c>
      <c r="P32" s="24" t="n">
        <f aca="false">P10*$B$28*$B$29</f>
        <v>11475</v>
      </c>
      <c r="Q32" s="16" t="n">
        <f aca="false">SUM(E32:P32)</f>
        <v>67387.5</v>
      </c>
    </row>
    <row r="33" customFormat="false" ht="15" hidden="false" customHeight="false" outlineLevel="0" collapsed="false">
      <c r="A33" s="5" t="s">
        <v>98</v>
      </c>
      <c r="B33" s="13" t="n">
        <v>13</v>
      </c>
      <c r="C33" s="2"/>
      <c r="D33" s="5" t="s">
        <v>174</v>
      </c>
      <c r="E33" s="24" t="n">
        <f aca="false">$B$38+($B$39-$B$38)*0/11</f>
        <v>1500</v>
      </c>
      <c r="F33" s="24" t="n">
        <f aca="false">$B$38+($B$39-$B$38)*1/11</f>
        <v>1727.27272727273</v>
      </c>
      <c r="G33" s="24" t="n">
        <f aca="false">$B$38+($B$39-$B$38)*2/11</f>
        <v>1954.54545454545</v>
      </c>
      <c r="H33" s="24" t="n">
        <f aca="false">$B$38+($B$39-$B$38)*3/11</f>
        <v>2181.81818181818</v>
      </c>
      <c r="I33" s="24" t="n">
        <f aca="false">$B$38+($B$39-$B$38)*4/11</f>
        <v>2409.09090909091</v>
      </c>
      <c r="J33" s="24" t="n">
        <f aca="false">$B$38+($B$39-$B$38)*5/11</f>
        <v>2636.36363636364</v>
      </c>
      <c r="K33" s="24" t="n">
        <f aca="false">$B$38+($B$39-$B$38)*6/11</f>
        <v>2863.63636363636</v>
      </c>
      <c r="L33" s="24" t="n">
        <f aca="false">$B$38+($B$39-$B$38)*7/11</f>
        <v>3090.90909090909</v>
      </c>
      <c r="M33" s="24" t="n">
        <f aca="false">$B$38+($B$39-$B$38)*8/11</f>
        <v>3318.18181818182</v>
      </c>
      <c r="N33" s="24" t="n">
        <f aca="false">$B$38+($B$39-$B$38)*9/11</f>
        <v>3545.45454545455</v>
      </c>
      <c r="O33" s="24" t="n">
        <f aca="false">$B$38+($B$39-$B$38)*10/11</f>
        <v>3772.72727272727</v>
      </c>
      <c r="P33" s="24" t="n">
        <f aca="false">$B$38+($B$39-$B$38)*11/11</f>
        <v>4000</v>
      </c>
      <c r="Q33" s="16" t="n">
        <f aca="false">SUM(E33:P33)</f>
        <v>33000</v>
      </c>
    </row>
    <row r="34" customFormat="false" ht="15" hidden="false" customHeight="false" outlineLevel="0" collapsed="false">
      <c r="A34" s="5" t="s">
        <v>175</v>
      </c>
      <c r="B34" s="13" t="n">
        <v>10</v>
      </c>
      <c r="C34" s="2"/>
      <c r="D34" s="5" t="s">
        <v>176</v>
      </c>
      <c r="E34" s="24" t="n">
        <f aca="false">$B$40</f>
        <v>5000</v>
      </c>
      <c r="F34" s="24" t="n">
        <f aca="false">$B$40</f>
        <v>5000</v>
      </c>
      <c r="G34" s="24" t="n">
        <f aca="false">$B$40</f>
        <v>5000</v>
      </c>
      <c r="H34" s="24" t="n">
        <f aca="false">$B$40</f>
        <v>5000</v>
      </c>
      <c r="I34" s="24" t="n">
        <f aca="false">$B$40</f>
        <v>5000</v>
      </c>
      <c r="J34" s="24" t="n">
        <f aca="false">$B$40</f>
        <v>5000</v>
      </c>
      <c r="K34" s="24" t="n">
        <f aca="false">$B$40</f>
        <v>5000</v>
      </c>
      <c r="L34" s="24" t="n">
        <f aca="false">$B$40</f>
        <v>5000</v>
      </c>
      <c r="M34" s="24" t="n">
        <f aca="false">$B$40</f>
        <v>5000</v>
      </c>
      <c r="N34" s="24" t="n">
        <f aca="false">$B$40</f>
        <v>5000</v>
      </c>
      <c r="O34" s="24" t="n">
        <f aca="false">$B$40</f>
        <v>5000</v>
      </c>
      <c r="P34" s="24" t="n">
        <f aca="false">$B$40</f>
        <v>5000</v>
      </c>
      <c r="Q34" s="16" t="n">
        <f aca="false">SUM(E34:P34)</f>
        <v>60000</v>
      </c>
    </row>
    <row r="35" customFormat="false" ht="15" hidden="false" customHeight="false" outlineLevel="0" collapsed="false">
      <c r="A35" s="5" t="s">
        <v>100</v>
      </c>
      <c r="B35" s="13" t="n">
        <v>7</v>
      </c>
      <c r="C35" s="2"/>
      <c r="D35" s="7" t="s">
        <v>177</v>
      </c>
      <c r="E35" s="16" t="n">
        <f aca="false">SUM(E30:E34)</f>
        <v>16624.4000111929</v>
      </c>
      <c r="F35" s="16" t="n">
        <f aca="false">SUM(F30:F34)</f>
        <v>20308.1912835672</v>
      </c>
      <c r="G35" s="16" t="n">
        <f aca="false">SUM(G30:G34)</f>
        <v>26758.4447389633</v>
      </c>
      <c r="H35" s="16" t="n">
        <f aca="false">SUM(H30:H34)</f>
        <v>32710.2737448922</v>
      </c>
      <c r="I35" s="16" t="n">
        <f aca="false">SUM(I30:I34)</f>
        <v>41843.2397763034</v>
      </c>
      <c r="J35" s="16" t="n">
        <f aca="false">SUM(J30:J34)</f>
        <v>50879.9667764006</v>
      </c>
      <c r="K35" s="16" t="n">
        <f aca="false">SUM(K30:K34)</f>
        <v>61596.3744518955</v>
      </c>
      <c r="L35" s="16" t="n">
        <f aca="false">SUM(L30:L34)</f>
        <v>72169.2415312628</v>
      </c>
      <c r="M35" s="16" t="n">
        <f aca="false">SUM(M30:M34)</f>
        <v>84376.1706646541</v>
      </c>
      <c r="N35" s="16" t="n">
        <f aca="false">SUM(N30:N34)</f>
        <v>96395.5548884704</v>
      </c>
      <c r="O35" s="16" t="n">
        <f aca="false">SUM(O30:O34)</f>
        <v>110006.545581299</v>
      </c>
      <c r="P35" s="16" t="n">
        <f aca="false">SUM(P30:P34)</f>
        <v>123389.021841451</v>
      </c>
      <c r="Q35" s="16" t="n">
        <f aca="false">SUM(E35:P35)</f>
        <v>737057.425290353</v>
      </c>
    </row>
    <row r="36" customFormat="false" ht="15" hidden="false" customHeight="false" outlineLevel="0" collapsed="false">
      <c r="A36" s="5" t="s">
        <v>97</v>
      </c>
      <c r="B36" s="13" t="n">
        <v>0.3</v>
      </c>
      <c r="C36" s="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</row>
    <row r="37" customFormat="false" ht="15" hidden="false" customHeight="false" outlineLevel="0" collapsed="false">
      <c r="A37" s="5" t="s">
        <v>178</v>
      </c>
      <c r="B37" s="12" t="n">
        <v>46</v>
      </c>
      <c r="C37" s="2"/>
      <c r="D37" s="7" t="s">
        <v>179</v>
      </c>
      <c r="E37" s="16" t="n">
        <f aca="false">E25-E35</f>
        <v>619.914786864563</v>
      </c>
      <c r="F37" s="16" t="n">
        <f aca="false">F25-F35</f>
        <v>-1467.1590120374</v>
      </c>
      <c r="G37" s="16" t="n">
        <f aca="false">G25-G35</f>
        <v>-3410.25994093218</v>
      </c>
      <c r="H37" s="16" t="n">
        <f aca="false">H25-H35</f>
        <v>-4107.32782435879</v>
      </c>
      <c r="I37" s="16" t="n">
        <f aca="false">I25-I35</f>
        <v>-4303.01387016945</v>
      </c>
      <c r="J37" s="16" t="n">
        <f aca="false">J25-J35</f>
        <v>-2906.21868333996</v>
      </c>
      <c r="K37" s="16" t="n">
        <f aca="false">K25-K35</f>
        <v>-1738.04132321128</v>
      </c>
      <c r="L37" s="16" t="n">
        <f aca="false">L25-L35</f>
        <v>981.210214540319</v>
      </c>
      <c r="M37" s="16" t="n">
        <f aca="false">M25-M35</f>
        <v>3431.98515147867</v>
      </c>
      <c r="N37" s="16" t="n">
        <f aca="false">N25-N35</f>
        <v>7395.45763732343</v>
      </c>
      <c r="O37" s="16" t="n">
        <f aca="false">O25-O35</f>
        <v>11053.4959438127</v>
      </c>
      <c r="P37" s="16" t="n">
        <f aca="false">P25-P35</f>
        <v>16188.6330707407</v>
      </c>
      <c r="Q37" s="16" t="n">
        <f aca="false">SUM(E37:P37)</f>
        <v>21738.6761507113</v>
      </c>
    </row>
    <row r="38" customFormat="false" ht="15" hidden="false" customHeight="false" outlineLevel="0" collapsed="false">
      <c r="A38" s="5" t="s">
        <v>180</v>
      </c>
      <c r="B38" s="12" t="n">
        <v>1500</v>
      </c>
      <c r="C38" s="2"/>
      <c r="D38" s="7" t="s">
        <v>124</v>
      </c>
      <c r="E38" s="16" t="n">
        <f aca="false">E37</f>
        <v>619.914786864563</v>
      </c>
      <c r="F38" s="16" t="n">
        <f aca="false">E38+F37</f>
        <v>-847.244225172839</v>
      </c>
      <c r="G38" s="16" t="n">
        <f aca="false">F38+G37</f>
        <v>-4257.50416610502</v>
      </c>
      <c r="H38" s="16" t="n">
        <f aca="false">G38+H37</f>
        <v>-8364.83199046381</v>
      </c>
      <c r="I38" s="16" t="n">
        <f aca="false">H38+I37</f>
        <v>-12667.8458606333</v>
      </c>
      <c r="J38" s="16" t="n">
        <f aca="false">I38+J37</f>
        <v>-15574.0645439732</v>
      </c>
      <c r="K38" s="16" t="n">
        <f aca="false">J38+K37</f>
        <v>-17312.1058671845</v>
      </c>
      <c r="L38" s="16" t="n">
        <f aca="false">K38+L37</f>
        <v>-16330.8956526442</v>
      </c>
      <c r="M38" s="16" t="n">
        <f aca="false">L38+M37</f>
        <v>-12898.9105011655</v>
      </c>
      <c r="N38" s="16" t="n">
        <f aca="false">M38+N37</f>
        <v>-5503.45286384209</v>
      </c>
      <c r="O38" s="16" t="n">
        <f aca="false">N38+O37</f>
        <v>5550.04307997061</v>
      </c>
      <c r="P38" s="16" t="n">
        <f aca="false">O38+P37</f>
        <v>21738.6761507113</v>
      </c>
      <c r="Q38" s="2"/>
    </row>
    <row r="39" customFormat="false" ht="15" hidden="false" customHeight="false" outlineLevel="0" collapsed="false">
      <c r="A39" s="5" t="s">
        <v>181</v>
      </c>
      <c r="B39" s="12" t="n">
        <v>4000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customFormat="false" ht="15" hidden="false" customHeight="false" outlineLevel="0" collapsed="false">
      <c r="A40" s="5" t="s">
        <v>182</v>
      </c>
      <c r="B40" s="12" t="n">
        <v>5000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5" t="s">
        <v>183</v>
      </c>
      <c r="B41" s="17" t="n">
        <v>0.25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5" t="s">
        <v>184</v>
      </c>
      <c r="B42" s="17" t="n">
        <v>0.5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5" t="s">
        <v>185</v>
      </c>
      <c r="B43" s="17" t="n">
        <v>0.75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7" t="s">
        <v>186</v>
      </c>
      <c r="B45" s="26" t="n">
        <f aca="false">COUNTIF('Solo Basis'!B15:Y15,"&lt;10000")+1</f>
        <v>7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customFormat="false" ht="15" hidden="false" customHeight="false" outlineLevel="0" collapsed="false">
      <c r="A46" s="5" t="s">
        <v>187</v>
      </c>
      <c r="B46" s="9" t="n">
        <f aca="false">INDEX('Solo Basis'!B10:Y10,1,$B$45)</f>
        <v>4.30713223920528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customFormat="false" ht="15" hidden="false" customHeight="false" outlineLevel="0" collapsed="false">
      <c r="A47" s="5" t="s">
        <v>188</v>
      </c>
      <c r="B47" s="9" t="n">
        <f aca="false">INDEX('Solo Basis'!B12:Y12,1,$B$45)</f>
        <v>4.06476362788501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customFormat="false" ht="15" hidden="false" customHeight="false" outlineLevel="0" collapsed="false">
      <c r="A48" s="5" t="s">
        <v>189</v>
      </c>
      <c r="B48" s="9" t="n">
        <f aca="false">INDEX('Solo Basis'!B11:Y11,1,$B$45)</f>
        <v>4.18405777739465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customFormat="false" ht="15" hidden="false" customHeight="false" outlineLevel="0" collapsed="false">
      <c r="A49" s="5" t="s">
        <v>190</v>
      </c>
      <c r="B49" s="9" t="n">
        <f aca="false">INDEX('Solo Basis'!B13:Y13,1,$B$45)</f>
        <v>3.83709397964875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customFormat="false" ht="15" hidden="false" customHeight="false" outlineLevel="0" collapsed="false">
      <c r="A50" s="5" t="s">
        <v>191</v>
      </c>
      <c r="B50" s="11" t="n">
        <v>0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2026-10-06T08:49:56Z</dcterms:created>
  <dc:creator>openpyxl</dc:creator>
  <dc:description/>
  <dc:language>en-US</dc:language>
  <cp:lastModifiedBy/>
  <dcterms:modified xsi:type="dcterms:W3CDTF">2026-10-06T08:50:01Z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