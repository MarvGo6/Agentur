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1-Mio-Plan 2027" sheetId="2" state="visible" r:id="rId4"/>
    <sheet name="Annahmen" sheetId="3" state="visible" r:id="rId5"/>
    <sheet name="Konservativ" sheetId="4" state="visible" r:id="rId6"/>
    <sheet name="Basis" sheetId="5" state="visible" r:id="rId7"/>
    <sheet name="Optimistisch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<sst xmlns="http://schemas.openxmlformats.org/spreadsheetml/2006/main" count="270" uniqueCount="199">
  <si>
    <t xml:space="preserve">Übersicht – drei Szenarien</t>
  </si>
  <si>
    <t xml:space="preserve">Ergebnis vor Steuern und vor Unternehmerlohn. Startkapital: keins, alle Kosten werden aus dem laufenden Umsatz gedeckt.</t>
  </si>
  <si>
    <t xml:space="preserve">Kennzahl</t>
  </si>
  <si>
    <t xml:space="preserve">Konservativ</t>
  </si>
  <si>
    <t xml:space="preserve">Basis</t>
  </si>
  <si>
    <t xml:space="preserve">Optimistisch</t>
  </si>
  <si>
    <t xml:space="preserve">MRR Monat 6</t>
  </si>
  <si>
    <t xml:space="preserve">MRR Monat 12</t>
  </si>
  <si>
    <t xml:space="preserve">MRR Monat 18</t>
  </si>
  <si>
    <t xml:space="preserve">MRR Monat 24</t>
  </si>
  <si>
    <t xml:space="preserve">Monat, in dem 10.000 € MRR erreicht werden</t>
  </si>
  <si>
    <t xml:space="preserve">Umsatz Jahr 1</t>
  </si>
  <si>
    <t xml:space="preserve">Umsatz Jahr 2</t>
  </si>
  <si>
    <t xml:space="preserve">Ergebnis Jahr 1</t>
  </si>
  <si>
    <t xml:space="preserve">Ergebnis Jahr 2</t>
  </si>
  <si>
    <t xml:space="preserve">Kapitalbedarf (tiefster Kassenstand)</t>
  </si>
  <si>
    <t xml:space="preserve">Aktive Kunden Monat 24 (Pflege)</t>
  </si>
  <si>
    <t xml:space="preserve">Eigene Arbeitsstunden Monat 24</t>
  </si>
  <si>
    <t xml:space="preserve">MRR je Monat</t>
  </si>
  <si>
    <t xml:space="preserve">1-Mio-Plan 2027</t>
  </si>
  <si>
    <t xml:space="preserve">Umsatz 2027</t>
  </si>
  <si>
    <t xml:space="preserve">Ergebnis 2027 vor Steuern</t>
  </si>
  <si>
    <t xml:space="preserve">MRR Dezember 2027</t>
  </si>
  <si>
    <t xml:space="preserve">Tiefster Kassenstand</t>
  </si>
  <si>
    <t xml:space="preserve">Abschlüsse 2027</t>
  </si>
  <si>
    <t xml:space="preserve">Liefer-Vollzeitstellen Dezember</t>
  </si>
  <si>
    <t xml:space="preserve">1-Mio-Plan 2027 – Monatsplanung mit Vertriebsteam</t>
  </si>
  <si>
    <t xml:space="preserve">Blaue Werte sind Eingaben. Vertriebskapazität treibt die Abschlüsse, Kosten folgen aus Lieferstunden, Team, Werbung und Gemeinkosten.</t>
  </si>
  <si>
    <t xml:space="preserve">Annahme</t>
  </si>
  <si>
    <t xml:space="preserve">Wert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</si>
  <si>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</si>
  <si>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</si>
  <si>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</si>
  <si>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</si>
  <si>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</si>
  <si>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</si>
  <si>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</si>
  <si>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</si>
  <si>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</si>
  <si>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</si>
  <si>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</si>
  <si>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</si>
  <si>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2027</t>
  </si>
  <si>
    <t xml:space="preserve">Ø Website-Auftrag</t>
  </si>
  <si>
    <t xml:space="preserve">Personen im Vertrieb (inkl. Gründer)</t>
  </si>
  <si>
    <t xml:space="preserve">Pflege &amp; Hosting / Monat</t>
  </si>
  <si>
    <t xml:space="preserve">Terminierer (SDR)</t>
  </si>
  <si>
    <t xml:space="preserve">SEO / Monat</t>
  </si>
  <si>
    <t xml:space="preserve">Angestellte Closer</t>
  </si>
  <si>
    <t xml:space="preserve">Ads-Betreuung / Monat</t>
  </si>
  <si>
    <t xml:space="preserve">davon neu</t>
  </si>
  <si>
    <t xml:space="preserve">Ads-Einrichtung</t>
  </si>
  <si>
    <t xml:space="preserve">Eingearbeitete Closer-Äquivalente</t>
  </si>
  <si>
    <t xml:space="preserve">Wachstumsprogramm / Monat</t>
  </si>
  <si>
    <t xml:space="preserve">Abschlüsse gesamt</t>
  </si>
  <si>
    <t xml:space="preserve">Recruiting-Paket Einrichtung</t>
  </si>
  <si>
    <t xml:space="preserve">neue Website-Kunden</t>
  </si>
  <si>
    <t xml:space="preserve">Recruiting-Paket / Monat</t>
  </si>
  <si>
    <t xml:space="preserve">neue SEO-Kunden</t>
  </si>
  <si>
    <t xml:space="preserve">Anteil Website-Deals</t>
  </si>
  <si>
    <t xml:space="preserve">neue Ads-Kunden</t>
  </si>
  <si>
    <t xml:space="preserve">Anteil Programm-Deals</t>
  </si>
  <si>
    <t xml:space="preserve">neue Programm-Kunden</t>
  </si>
  <si>
    <t xml:space="preserve">Anteil Recruiting-Deals</t>
  </si>
  <si>
    <t xml:space="preserve">neue Recruiting-Kunden</t>
  </si>
  <si>
    <t xml:space="preserve">Website-Deals mit SEO</t>
  </si>
  <si>
    <t xml:space="preserve">Website-Deals mit Ads</t>
  </si>
  <si>
    <t xml:space="preserve">Aktive Pflege-Kunden</t>
  </si>
  <si>
    <t xml:space="preserve">Kündigung Pflege / Monat</t>
  </si>
  <si>
    <t xml:space="preserve">Aktive SEO-Kunden</t>
  </si>
  <si>
    <t xml:space="preserve">Kündigung SEO / Monat</t>
  </si>
  <si>
    <t xml:space="preserve">Aktive Ads-Kunden</t>
  </si>
  <si>
    <t xml:space="preserve">Kündigung Ads / Monat</t>
  </si>
  <si>
    <t xml:space="preserve">Aktive Programm-Kunden</t>
  </si>
  <si>
    <t xml:space="preserve">Kündigung Programm / Monat</t>
  </si>
  <si>
    <t xml:space="preserve">Aktive Recruiting-Kunden</t>
  </si>
  <si>
    <t xml:space="preserve">Kündigung Recruiting / Monat</t>
  </si>
  <si>
    <t xml:space="preserve">Abschlüsse je eingearbeitetem Closer / Monat</t>
  </si>
  <si>
    <t xml:space="preserve">MRR</t>
  </si>
  <si>
    <t xml:space="preserve">Abschlüsse Gründer / Monat</t>
  </si>
  <si>
    <t xml:space="preserve">Einmalumsatz</t>
  </si>
  <si>
    <t xml:space="preserve">Fixkosten je angestelltem Closer</t>
  </si>
  <si>
    <t xml:space="preserve">Umsatz</t>
  </si>
  <si>
    <t xml:space="preserve">Fixkosten je Terminierer (SDR)</t>
  </si>
  <si>
    <t xml:space="preserve">Provision auf Umsatz</t>
  </si>
  <si>
    <t xml:space="preserve">Lieferstunden</t>
  </si>
  <si>
    <t xml:space="preserve">Anteil Deals über Werbung</t>
  </si>
  <si>
    <t xml:space="preserve">Liefer-Vollzeitstellen (140 h)</t>
  </si>
  <si>
    <t xml:space="preserve">Werbekosten je Deal (CAC)</t>
  </si>
  <si>
    <t xml:space="preserve">Kosten Lieferung</t>
  </si>
  <si>
    <t xml:space="preserve">Stunden je Website</t>
  </si>
  <si>
    <t xml:space="preserve">Kosten Vertrieb (Fix + Provision)</t>
  </si>
  <si>
    <t xml:space="preserve">Stunden je SEO-Kunde / Monat</t>
  </si>
  <si>
    <t xml:space="preserve">Werbebudget</t>
  </si>
  <si>
    <t xml:space="preserve">Stunden je Ads-Kunde / Monat</t>
  </si>
  <si>
    <t xml:space="preserve">Gemeinkosten</t>
  </si>
  <si>
    <t xml:space="preserve">Stunden je Programm-Kunde / Monat</t>
  </si>
  <si>
    <t xml:space="preserve">Gründergehalt</t>
  </si>
  <si>
    <t xml:space="preserve">Stunden je Recruiting-Einrichtung</t>
  </si>
  <si>
    <t xml:space="preserve">Kosten gesamt</t>
  </si>
  <si>
    <t xml:space="preserve">Stunden je Recruiting-Kunde / Monat</t>
  </si>
  <si>
    <t xml:space="preserve">Stunden je Pflege-Kunde / Monat</t>
  </si>
  <si>
    <t xml:space="preserve">Ergebnis vor Steuern</t>
  </si>
  <si>
    <t xml:space="preserve">Mischsatz Lieferung je Stunde</t>
  </si>
  <si>
    <t xml:space="preserve">Kasse kumuliert</t>
  </si>
  <si>
    <t xml:space="preserve">Gemeinkosten Januar</t>
  </si>
  <si>
    <t xml:space="preserve">Gemeinkosten Dezember</t>
  </si>
  <si>
    <t xml:space="preserve">Gründergehalt / Monat</t>
  </si>
  <si>
    <t xml:space="preserve">Leistung neuer Closer im Monat 1</t>
  </si>
  <si>
    <t xml:space="preserve">Leistung neuer Closer im Monat 2</t>
  </si>
  <si>
    <t xml:space="preserve">Leistung neuer Closer im Monat 3</t>
  </si>
  <si>
    <t xml:space="preserve">Kundenbestand Ende 2026</t>
  </si>
  <si>
    <t xml:space="preserve">Pflege</t>
  </si>
  <si>
    <t xml:space="preserve">SEO</t>
  </si>
  <si>
    <t xml:space="preserve">Ads</t>
  </si>
  <si>
    <t xml:space="preserve">Programm</t>
  </si>
  <si>
    <t xml:space="preserve">Recruiting</t>
  </si>
  <si>
    <t xml:space="preserve">Finanzmodell Agentur – Annahmen</t>
  </si>
  <si>
    <t xml:space="preserve">Blaue Zahlen sind Eingaben und dürfen geändert werden. Gelb = wichtigste Hebel. Alle anderen Blätter rechnen automatisch.</t>
  </si>
  <si>
    <t xml:space="preserve">Gemeinsame Annahmen</t>
  </si>
  <si>
    <t xml:space="preserve">Quelle / Begründung</t>
  </si>
  <si>
    <t xml:space="preserve">Ø Einmalpreis Website</t>
  </si>
  <si>
    <t xml:space="preserve">Mix aus Website Start (1.490 €) und Wachstum (2.990 €), Preisliste der Website</t>
  </si>
  <si>
    <t xml:space="preserve">Ø Pflege &amp; Hosting pro Monat</t>
  </si>
  <si>
    <t xml:space="preserve">Mix aus 49 € und 89 €</t>
  </si>
  <si>
    <t xml:space="preserve">Ø SEO-Retainer pro Monat</t>
  </si>
  <si>
    <t xml:space="preserve">Mix aus SEO Lokal (390 €) und SEO Plus (690 €)</t>
  </si>
  <si>
    <t xml:space="preserve">Ads-Betreuung pro Monat</t>
  </si>
  <si>
    <t xml:space="preserve">Preisliste</t>
  </si>
  <si>
    <t xml:space="preserve">Ads-Einrichtung einmalig</t>
  </si>
  <si>
    <t xml:space="preserve">Wachstumsprogramm pro Monat</t>
  </si>
  <si>
    <t xml:space="preserve">Preisliste, 12 Monate Laufzeit</t>
  </si>
  <si>
    <t xml:space="preserve">Kündigungsquote Pflege / Monat</t>
  </si>
  <si>
    <t xml:space="preserve">Annahme: Websites werden selten gewechselt</t>
  </si>
  <si>
    <t xml:space="preserve">Kündigungsquote SEO / Monat</t>
  </si>
  <si>
    <t xml:space="preserve">Annahme, nach 6 Monaten Mindestlaufzeit</t>
  </si>
  <si>
    <t xml:space="preserve">Kündigungsquote Ads / Monat</t>
  </si>
  <si>
    <t xml:space="preserve">Annahme: monatlich kündbar</t>
  </si>
  <si>
    <t xml:space="preserve">Kündigungsquote Programm / Monat</t>
  </si>
  <si>
    <t xml:space="preserve">Annahme: 12-Monats-Verträge, Verlängerungsquote ca. 75 %</t>
  </si>
  <si>
    <t xml:space="preserve">Fixkosten pro Monat</t>
  </si>
  <si>
    <t xml:space="preserve">Tools 100 €, Infrastruktur 30 €, Haftpflicht 25 €, Buchhaltung 30 €, Domain/Mail 20 €</t>
  </si>
  <si>
    <t xml:space="preserve">Eigenes Marketing pro Monat</t>
  </si>
  <si>
    <t xml:space="preserve">Ads/Tools für die eigene Kundengewinnung</t>
  </si>
  <si>
    <t xml:space="preserve">Stundensatz Freelancer</t>
  </si>
  <si>
    <t xml:space="preserve">Zugekaufte Stunden (Text, Design, Entwicklung)</t>
  </si>
  <si>
    <t xml:space="preserve">Zukauf-Stunden je neuer Website</t>
  </si>
  <si>
    <t xml:space="preserve">Zukauf-Stunden je SEO-Kunde / Monat</t>
  </si>
  <si>
    <t xml:space="preserve">Zukauf-Stunden je Programm-Kunde / Monat</t>
  </si>
  <si>
    <t xml:space="preserve">Eigene Stunden je neuer Website</t>
  </si>
  <si>
    <t xml:space="preserve">Inkl. Vertrieb, Abstimmung, Qualitätskontrolle</t>
  </si>
  <si>
    <t xml:space="preserve">Eigene Stunden je SEO-Kunde / Monat</t>
  </si>
  <si>
    <t xml:space="preserve">Eigene Stunden je Ads-Kunde / Monat</t>
  </si>
  <si>
    <t xml:space="preserve">Eigene Stunden je Programm-Kunde / Monat</t>
  </si>
  <si>
    <t xml:space="preserve">Eigene Stunden je Pflege-Kunde / Monat</t>
  </si>
  <si>
    <t xml:space="preserve">Updates laufen weitgehend automatisiert</t>
  </si>
  <si>
    <t xml:space="preserve">Szenario-Hebel</t>
  </si>
  <si>
    <t xml:space="preserve">Erläuterung</t>
  </si>
  <si>
    <t xml:space="preserve">Neue Website-Kunden / Monat, Monat 1–6</t>
  </si>
  <si>
    <t xml:space="preserve">Dezimalwerte = Durchschnitt, z. B. 1,5 = drei Kunden in zwei Monaten</t>
  </si>
  <si>
    <t xml:space="preserve">Neue Website-Kunden / Monat, Monat 7–12</t>
  </si>
  <si>
    <t xml:space="preserve">Neue Website-Kunden / Monat, Monat 13–24</t>
  </si>
  <si>
    <t xml:space="preserve">Anteil Website-Kunden mit SEO-Retainer</t>
  </si>
  <si>
    <t xml:space="preserve">Anteil Website-Kunden mit Ads-Betreuung</t>
  </si>
  <si>
    <t xml:space="preserve">Neue Programm-Kunden / Monat, Monat 1–6</t>
  </si>
  <si>
    <t xml:space="preserve">Programm-Kunden kommen zusätzlich zu den Website-Kunden</t>
  </si>
  <si>
    <t xml:space="preserve">Neue Programm-Kunden / Monat, Monat 7–12</t>
  </si>
  <si>
    <t xml:space="preserve">Neue Programm-Kunden / Monat, Monat 13–24</t>
  </si>
  <si>
    <t xml:space="preserve">Szenario Konservativ – Monatsplanung (24 Monate)</t>
  </si>
  <si>
    <t xml:space="preserve">Alle Werte werden aus dem Blatt „Annahmen“ berechnet. Kundenzahlen sind Erwartungswerte (Durchschnitte).</t>
  </si>
  <si>
    <t xml:space="preserve">Monat</t>
  </si>
  <si>
    <t xml:space="preserve">Neue Kunden</t>
  </si>
  <si>
    <t xml:space="preserve">Neue Websites</t>
  </si>
  <si>
    <t xml:space="preserve">Neue SEO-Retainer</t>
  </si>
  <si>
    <t xml:space="preserve">Neue Ads-Betreuungen</t>
  </si>
  <si>
    <t xml:space="preserve">Neue Programm-Kunden</t>
  </si>
  <si>
    <t xml:space="preserve">Aktive Kunden (Monatsende)</t>
  </si>
  <si>
    <t xml:space="preserve">Pflege &amp; Hosting</t>
  </si>
  <si>
    <t xml:space="preserve">SEO-Retainer</t>
  </si>
  <si>
    <t xml:space="preserve">Ads-Betreuung</t>
  </si>
  <si>
    <t xml:space="preserve">Wachstumsprogramm</t>
  </si>
  <si>
    <t xml:space="preserve">Umsatz (€)</t>
  </si>
  <si>
    <t xml:space="preserve">MRR Pflege</t>
  </si>
  <si>
    <t xml:space="preserve">MRR SEO</t>
  </si>
  <si>
    <t xml:space="preserve">MRR Ads</t>
  </si>
  <si>
    <t xml:space="preserve">MRR Programm</t>
  </si>
  <si>
    <t xml:space="preserve">MRR gesamt</t>
  </si>
  <si>
    <t xml:space="preserve">Einmalumsatz (Websites, Ads-Einrichtung)</t>
  </si>
  <si>
    <t xml:space="preserve">Umsatz gesamt</t>
  </si>
  <si>
    <t xml:space="preserve">Kosten (€)</t>
  </si>
  <si>
    <t xml:space="preserve">Fixkosten</t>
  </si>
  <si>
    <t xml:space="preserve">Eigenes Marketing</t>
  </si>
  <si>
    <t xml:space="preserve">Zugekaufte Stunden</t>
  </si>
  <si>
    <t xml:space="preserve">Kosten zugekaufte Stunden</t>
  </si>
  <si>
    <t xml:space="preserve">Ergebnis</t>
  </si>
  <si>
    <t xml:space="preserve">Ergebnis vor Steuern und Unternehmerlohn</t>
  </si>
  <si>
    <t xml:space="preserve">Eigene Arbeitsstunden im Monat</t>
  </si>
  <si>
    <t xml:space="preserve">Szenario Basis – Monatsplanung (24 Monate)</t>
  </si>
  <si>
    <t xml:space="preserve">Szenario Optimistisch – Monatsplanung (24 Monate)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</si>
</sst>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€&quot;;\(#,##0&quot; €)&quot;;\-"/>
    <numFmt numFmtId="166" formatCode="0"/>
    <numFmt numFmtId="167" formatCode="#,##0.0;\(#,##0.0\);\-"/>
    <numFmt numFmtId="168" formatCode="0.0%;\(0.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5C4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FE8DB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602A"/>
      <rgbColor rgb="FF800080"/>
      <rgbColor rgb="FF008080"/>
      <rgbColor rgb="FFC0C0C0"/>
      <rgbColor rgb="FF878787"/>
      <rgbColor rgb="FF9999FF"/>
      <rgbColor rgb="FF993366"/>
      <rgbColor rgb="FFEFE8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B8F84"/>
      <rgbColor rgb="FF0F5C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Monatlich wiederkehrender Umsatz (MRR)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Übersicht!B19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b0602a"/>
            </a:solidFill>
            <a:ln w="28080">
              <a:solidFill>
                <a:srgbClr val="b060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Übersicht!$B$20:$B$43</c:f>
              <c:numCache>
                <c:formatCode>#,##0" €";\(#,##0" €)";\-</c:formatCode>
                <c:ptCount val="24"/>
                <c:pt idx="0">
                  <c:v>134.25</c:v>
                </c:pt>
                <c:pt idx="1">
                  <c:v>264.945</c:v>
                </c:pt>
                <c:pt idx="2">
                  <c:v>392.19345</c:v>
                </c:pt>
                <c:pt idx="3">
                  <c:v>516.1002675</c:v>
                </c:pt>
                <c:pt idx="4">
                  <c:v>636.766956705</c:v>
                </c:pt>
                <c:pt idx="5">
                  <c:v>754.29172360395</c:v>
                </c:pt>
                <c:pt idx="6">
                  <c:v>1122.01958706863</c:v>
                </c:pt>
                <c:pt idx="7">
                  <c:v>1480.85748611321</c:v>
                </c:pt>
                <c:pt idx="8">
                  <c:v>1831.05043345001</c:v>
                </c:pt>
                <c:pt idx="9">
                  <c:v>2172.83608097243</c:v>
                </c:pt>
                <c:pt idx="10">
                  <c:v>2506.44495453586</c:v>
                </c:pt>
                <c:pt idx="11">
                  <c:v>2832.1006809063</c:v>
                </c:pt>
                <c:pt idx="12">
                  <c:v>3263.22020714758</c:v>
                </c:pt>
                <c:pt idx="13">
                  <c:v>3684.20201270793</c:v>
                </c:pt>
                <c:pt idx="14">
                  <c:v>4095.31749445815</c:v>
                </c:pt>
                <c:pt idx="15">
                  <c:v>4496.83009592383</c:v>
                </c:pt>
                <c:pt idx="16">
                  <c:v>4888.99555614823</c:v>
                </c:pt>
                <c:pt idx="17">
                  <c:v>5272.0621503687</c:v>
                </c:pt>
                <c:pt idx="18">
                  <c:v>5646.27092278694</c:v>
                </c:pt>
                <c:pt idx="19">
                  <c:v>6011.85591170324</c:v>
                </c:pt>
                <c:pt idx="20">
                  <c:v>6369.04436727554</c:v>
                </c:pt>
                <c:pt idx="21">
                  <c:v>6718.0569621547</c:v>
                </c:pt>
                <c:pt idx="22">
                  <c:v>7059.10799523872</c:v>
                </c:pt>
                <c:pt idx="23">
                  <c:v>7392.40558878006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Übersicht!C19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0f5c4a"/>
            </a:solidFill>
            <a:ln w="28080">
              <a:solidFill>
                <a:srgbClr val="0f5c4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Übersicht!$C$20:$C$43</c:f>
              <c:numCache>
                <c:formatCode>#,##0" €";\(#,##0" €)";\-</c:formatCode>
                <c:ptCount val="24"/>
                <c:pt idx="0">
                  <c:v>247.2</c:v>
                </c:pt>
                <c:pt idx="1">
                  <c:v>487.624</c:v>
                </c:pt>
                <c:pt idx="2">
                  <c:v>721.4828</c:v>
                </c:pt>
                <c:pt idx="3">
                  <c:v>948.980244</c:v>
                </c:pt>
                <c:pt idx="4">
                  <c:v>1170.313457272</c:v>
                </c:pt>
                <c:pt idx="5">
                  <c:v>1385.67307533704</c:v>
                </c:pt>
                <c:pt idx="6">
                  <c:v>1928.24346494353</c:v>
                </c:pt>
                <c:pt idx="7">
                  <c:v>2457.39793733235</c:v>
                </c:pt>
                <c:pt idx="8">
                  <c:v>2973.51210406375</c:v>
                </c:pt>
                <c:pt idx="9">
                  <c:v>3476.95015017121</c:v>
                </c:pt>
                <c:pt idx="10">
                  <c:v>3968.0652027526</c:v>
                </c:pt>
                <c:pt idx="11">
                  <c:v>4447.19968713436</c:v>
                </c:pt>
                <c:pt idx="12">
                  <c:v>5126.38567104241</c:v>
                </c:pt>
                <c:pt idx="13">
                  <c:v>5789.32419719811</c:v>
                </c:pt>
                <c:pt idx="14">
                  <c:v>6436.45425474247</c:v>
                </c:pt>
                <c:pt idx="15">
                  <c:v>7068.20187937742</c:v>
                </c:pt>
                <c:pt idx="16">
                  <c:v>7684.98056161598</c:v>
                </c:pt>
                <c:pt idx="17">
                  <c:v>8287.19164149433</c:v>
                </c:pt>
                <c:pt idx="18">
                  <c:v>8875.22469021319</c:v>
                </c:pt>
                <c:pt idx="19">
                  <c:v>9449.45787915892</c:v>
                </c:pt>
                <c:pt idx="20">
                  <c:v>10010.2583367389</c:v>
                </c:pt>
                <c:pt idx="21">
                  <c:v>10557.9824934507</c:v>
                </c:pt>
                <c:pt idx="22">
                  <c:v>11092.9764155884</c:v>
                </c:pt>
                <c:pt idx="23">
                  <c:v>11615.576127977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Übersicht!D19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6b8f84"/>
            </a:solidFill>
            <a:ln w="28080">
              <a:solidFill>
                <a:srgbClr val="6b8f8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Übersicht!$D$20:$D$43</c:f>
              <c:numCache>
                <c:formatCode>#,##0" €";\(#,##0" €)";\-</c:formatCode>
                <c:ptCount val="24"/>
                <c:pt idx="0">
                  <c:v>468.5</c:v>
                </c:pt>
                <c:pt idx="1">
                  <c:v>924.79</c:v>
                </c:pt>
                <c:pt idx="2">
                  <c:v>1369.2277</c:v>
                </c:pt>
                <c:pt idx="3">
                  <c:v>1802.159523</c:v>
                </c:pt>
                <c:pt idx="4">
                  <c:v>2223.92098881</c:v>
                </c:pt>
                <c:pt idx="5">
                  <c:v>2634.8370749939</c:v>
                </c:pt>
                <c:pt idx="6">
                  <c:v>3388.47256540358</c:v>
                </c:pt>
                <c:pt idx="7">
                  <c:v>4123.39738674284</c:v>
                </c:pt>
                <c:pt idx="8">
                  <c:v>4840.13338358496</c:v>
                </c:pt>
                <c:pt idx="9">
                  <c:v>5539.18659175225</c:v>
                </c:pt>
                <c:pt idx="10">
                  <c:v>6221.047747396</c:v>
                </c:pt>
                <c:pt idx="11">
                  <c:v>6886.19277889756</c:v>
                </c:pt>
                <c:pt idx="12">
                  <c:v>7828.83328219153</c:v>
                </c:pt>
                <c:pt idx="13">
                  <c:v>8748.37198009099</c:v>
                </c:pt>
                <c:pt idx="14">
                  <c:v>9645.44581617341</c:v>
                </c:pt>
                <c:pt idx="15">
                  <c:v>10520.672619266</c:v>
                </c:pt>
                <c:pt idx="16">
                  <c:v>11374.6517144746</c:v>
                </c:pt>
                <c:pt idx="17">
                  <c:v>12207.9645137089</c:v>
                </c:pt>
                <c:pt idx="18">
                  <c:v>13021.1750864183</c:v>
                </c:pt>
                <c:pt idx="19">
                  <c:v>13814.8307112266</c:v>
                </c:pt>
                <c:pt idx="20">
                  <c:v>14589.462409132</c:v>
                </c:pt>
                <c:pt idx="21">
                  <c:v>15345.5854589101</c:v>
                </c:pt>
                <c:pt idx="22">
                  <c:v>16083.6998953402</c:v>
                </c:pt>
                <c:pt idx="23">
                  <c:v>16804.2909908476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722665"/>
        <c:axId val="83366423"/>
      </c:lineChart>
      <c:catAx>
        <c:axId val="34722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66423"/>
        <c:crosses val="autoZero"/>
        <c:auto val="1"/>
        <c:lblAlgn val="ctr"/>
        <c:lblOffset val="100"/>
        <c:noMultiLvlLbl val="0"/>
      </c:catAx>
      <c:valAx>
        <c:axId val="83366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2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15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76600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Konservativ!G20</f>
        <v>754.29172360395</v>
      </c>
      <c r="C5" s="5" t="n">
        <f aca="false">Basis!G20</f>
        <v>1385.67307533704</v>
      </c>
      <c r="D5" s="5" t="n">
        <f aca="false">Optimistisch!G20</f>
        <v>2634.8370749939</v>
      </c>
    </row>
    <row r="6" customFormat="false" ht="15" hidden="false" customHeight="false" outlineLevel="0" collapsed="false">
      <c r="A6" s="4" t="s">
        <v>7</v>
      </c>
      <c r="B6" s="5" t="n">
        <f aca="false">Konservativ!M20</f>
        <v>2832.1006809063</v>
      </c>
      <c r="C6" s="5" t="n">
        <f aca="false">Basis!M20</f>
        <v>4447.19968713436</v>
      </c>
      <c r="D6" s="5" t="n">
        <f aca="false">Optimistisch!M20</f>
        <v>6886.19277889756</v>
      </c>
    </row>
    <row r="7" customFormat="false" ht="15" hidden="false" customHeight="false" outlineLevel="0" collapsed="false">
      <c r="A7" s="4" t="s">
        <v>8</v>
      </c>
      <c r="B7" s="5" t="n">
        <f aca="false">Konservativ!S20</f>
        <v>5272.0621503687</v>
      </c>
      <c r="C7" s="5" t="n">
        <f aca="false">Basis!S20</f>
        <v>8287.19164149433</v>
      </c>
      <c r="D7" s="5" t="n">
        <f aca="false">Optimistisch!S20</f>
        <v>12207.9645137089</v>
      </c>
    </row>
    <row r="8" customFormat="false" ht="15" hidden="false" customHeight="false" outlineLevel="0" collapsed="false">
      <c r="A8" s="4" t="s">
        <v>9</v>
      </c>
      <c r="B8" s="5" t="n">
        <f aca="false">Konservativ!Y20</f>
        <v>7392.40558878006</v>
      </c>
      <c r="C8" s="5" t="n">
        <f aca="false">Basis!Y20</f>
        <v>11615.576127977</v>
      </c>
      <c r="D8" s="5" t="n">
        <f aca="false">Optimistisch!Y20</f>
        <v>16804.2909908476</v>
      </c>
    </row>
    <row r="9" customFormat="false" ht="15" hidden="false" customHeight="false" outlineLevel="0" collapsed="false">
      <c r="A9" s="4" t="s">
        <v>10</v>
      </c>
      <c r="B9" s="6" t="str">
        <f aca="false">IF(MAX(Konservativ!B20:Y20)&gt;=10000,COUNTIF(Konservativ!B20:Y20,"&lt;10000")+1,"nicht in 24 Monaten")</f>
        <v>nicht in 24 Monaten</v>
      </c>
      <c r="C9" s="6" t="n">
        <f aca="false">IF(MAX(Basis!B20:Y20)&gt;=10000,COUNTIF(Basis!B20:Y20,"&lt;10000")+1,"nicht in 24 Monaten")</f>
        <v>21</v>
      </c>
      <c r="D9" s="6" t="n">
        <f aca="false">IF(MAX(Optimistisch!B20:Y20)&gt;=10000,COUNTIF(Optimistisch!B20:Y20,"&lt;10000")+1,"nicht in 24 Monaten")</f>
        <v>16</v>
      </c>
    </row>
    <row r="10" customFormat="false" ht="15" hidden="false" customHeight="false" outlineLevel="0" collapsed="false">
      <c r="A10" s="4" t="s">
        <v>11</v>
      </c>
      <c r="B10" s="5" t="n">
        <f aca="false">SUM(Konservativ!B22:M22)</f>
        <v>34970.3566208554</v>
      </c>
      <c r="C10" s="5" t="n">
        <f aca="false">SUM(Basis!B22:M22)</f>
        <v>52915.4421230068</v>
      </c>
      <c r="D10" s="5" t="n">
        <f aca="false">SUM(Optimistisch!B22:M22)</f>
        <v>74884.3657405811</v>
      </c>
    </row>
    <row r="11" customFormat="false" ht="15" hidden="false" customHeight="false" outlineLevel="0" collapsed="false">
      <c r="A11" s="4" t="s">
        <v>12</v>
      </c>
      <c r="B11" s="5" t="n">
        <f aca="false">SUM(Konservativ!N22:Y22)</f>
        <v>97419.7692646936</v>
      </c>
      <c r="C11" s="5" t="n">
        <f aca="false">SUM(Basis!N22:Y22)</f>
        <v>145731.614148598</v>
      </c>
      <c r="D11" s="5" t="n">
        <f aca="false">SUM(Optimistisch!N22:Y22)</f>
        <v>205124.98447778</v>
      </c>
    </row>
    <row r="12" customFormat="false" ht="15" hidden="false" customHeight="false" outlineLevel="0" collapsed="false">
      <c r="A12" s="4" t="s">
        <v>13</v>
      </c>
      <c r="B12" s="5" t="n">
        <f aca="false">SUM(Konservativ!B30:M30)</f>
        <v>25798.1463515268</v>
      </c>
      <c r="C12" s="5" t="n">
        <f aca="false">SUM(Basis!B30:M30)</f>
        <v>41354.391947009</v>
      </c>
      <c r="D12" s="5" t="n">
        <f aca="false">SUM(Optimistisch!B30:M30)</f>
        <v>60025.5239747626</v>
      </c>
    </row>
    <row r="13" customFormat="false" ht="15" hidden="false" customHeight="false" outlineLevel="0" collapsed="false">
      <c r="A13" s="4" t="s">
        <v>14</v>
      </c>
      <c r="B13" s="5" t="n">
        <f aca="false">SUM(Konservativ!N30:Y30)</f>
        <v>79795.4157327775</v>
      </c>
      <c r="C13" s="5" t="n">
        <f aca="false">SUM(Basis!N30:Y30)</f>
        <v>121502.853382945</v>
      </c>
      <c r="D13" s="5" t="n">
        <f aca="false">SUM(Optimistisch!N30:Y30)</f>
        <v>172253.138620592</v>
      </c>
    </row>
    <row r="14" customFormat="false" ht="15" hidden="false" customHeight="false" outlineLevel="0" collapsed="false">
      <c r="A14" s="4" t="s">
        <v>15</v>
      </c>
      <c r="B14" s="5" t="n">
        <f aca="false">MIN(0,MIN(Konservativ!B31:Y31))</f>
        <v>0</v>
      </c>
      <c r="C14" s="5" t="n">
        <f aca="false">MIN(0,MIN(Basis!B31:Y31))</f>
        <v>0</v>
      </c>
      <c r="D14" s="5" t="n">
        <f aca="false">MIN(0,MIN(Optimistisch!B31:Y31))</f>
        <v>0</v>
      </c>
    </row>
    <row r="15" customFormat="false" ht="15" hidden="false" customHeight="false" outlineLevel="0" collapsed="false">
      <c r="A15" s="4" t="s">
        <v>16</v>
      </c>
      <c r="B15" s="7" t="n">
        <f aca="false">Konservativ!Y11</f>
        <v>21.2627074528121</v>
      </c>
      <c r="C15" s="7" t="n">
        <f aca="false">Basis!Y11</f>
        <v>28.8285145114342</v>
      </c>
      <c r="D15" s="7" t="n">
        <f aca="false">Optimistisch!Y11</f>
        <v>35.3872542609673</v>
      </c>
    </row>
    <row r="16" customFormat="false" ht="15" hidden="false" customHeight="false" outlineLevel="0" collapsed="false">
      <c r="A16" s="4" t="s">
        <v>17</v>
      </c>
      <c r="B16" s="7" t="n">
        <f aca="false">Konservativ!Y32</f>
        <v>71.9524437582983</v>
      </c>
      <c r="C16" s="7" t="n">
        <f aca="false">Basis!Y32</f>
        <v>108.365322439731</v>
      </c>
      <c r="D16" s="7" t="n">
        <f aca="false">Optimistisch!Y32</f>
        <v>151.675773760935</v>
      </c>
    </row>
    <row r="19" customFormat="false" ht="15" hidden="false" customHeight="false" outlineLevel="0" collapsed="false">
      <c r="A19" s="8" t="s">
        <v>18</v>
      </c>
      <c r="B19" s="8" t="s">
        <v>3</v>
      </c>
      <c r="C19" s="8" t="s">
        <v>4</v>
      </c>
      <c r="D19" s="8" t="s">
        <v>5</v>
      </c>
    </row>
    <row r="20" customFormat="false" ht="15" hidden="false" customHeight="false" outlineLevel="0" collapsed="false">
      <c r="A20" s="4" t="n">
        <v>1</v>
      </c>
      <c r="B20" s="5" t="n">
        <f aca="false">Konservativ!B20</f>
        <v>134.25</v>
      </c>
      <c r="C20" s="5" t="n">
        <f aca="false">Basis!B20</f>
        <v>247.2</v>
      </c>
      <c r="D20" s="5" t="n">
        <f aca="false">Optimistisch!B20</f>
        <v>468.5</v>
      </c>
    </row>
    <row r="21" customFormat="false" ht="15" hidden="false" customHeight="false" outlineLevel="0" collapsed="false">
      <c r="A21" s="4" t="n">
        <v>2</v>
      </c>
      <c r="B21" s="5" t="n">
        <f aca="false">Konservativ!C20</f>
        <v>264.945</v>
      </c>
      <c r="C21" s="5" t="n">
        <f aca="false">Basis!C20</f>
        <v>487.624</v>
      </c>
      <c r="D21" s="5" t="n">
        <f aca="false">Optimistisch!C20</f>
        <v>924.79</v>
      </c>
    </row>
    <row r="22" customFormat="false" ht="15" hidden="false" customHeight="false" outlineLevel="0" collapsed="false">
      <c r="A22" s="4" t="n">
        <v>3</v>
      </c>
      <c r="B22" s="5" t="n">
        <f aca="false">Konservativ!D20</f>
        <v>392.19345</v>
      </c>
      <c r="C22" s="5" t="n">
        <f aca="false">Basis!D20</f>
        <v>721.4828</v>
      </c>
      <c r="D22" s="5" t="n">
        <f aca="false">Optimistisch!D20</f>
        <v>1369.2277</v>
      </c>
    </row>
    <row r="23" customFormat="false" ht="15" hidden="false" customHeight="false" outlineLevel="0" collapsed="false">
      <c r="A23" s="4" t="n">
        <v>4</v>
      </c>
      <c r="B23" s="5" t="n">
        <f aca="false">Konservativ!E20</f>
        <v>516.1002675</v>
      </c>
      <c r="C23" s="5" t="n">
        <f aca="false">Basis!E20</f>
        <v>948.980244</v>
      </c>
      <c r="D23" s="5" t="n">
        <f aca="false">Optimistisch!E20</f>
        <v>1802.159523</v>
      </c>
    </row>
    <row r="24" customFormat="false" ht="15" hidden="false" customHeight="false" outlineLevel="0" collapsed="false">
      <c r="A24" s="4" t="n">
        <v>5</v>
      </c>
      <c r="B24" s="5" t="n">
        <f aca="false">Konservativ!F20</f>
        <v>636.766956705</v>
      </c>
      <c r="C24" s="5" t="n">
        <f aca="false">Basis!F20</f>
        <v>1170.313457272</v>
      </c>
      <c r="D24" s="5" t="n">
        <f aca="false">Optimistisch!F20</f>
        <v>2223.92098881</v>
      </c>
    </row>
    <row r="25" customFormat="false" ht="15" hidden="false" customHeight="false" outlineLevel="0" collapsed="false">
      <c r="A25" s="4" t="n">
        <v>6</v>
      </c>
      <c r="B25" s="5" t="n">
        <f aca="false">Konservativ!G20</f>
        <v>754.29172360395</v>
      </c>
      <c r="C25" s="5" t="n">
        <f aca="false">Basis!G20</f>
        <v>1385.67307533704</v>
      </c>
      <c r="D25" s="5" t="n">
        <f aca="false">Optimistisch!G20</f>
        <v>2634.8370749939</v>
      </c>
    </row>
    <row r="26" customFormat="false" ht="15" hidden="false" customHeight="false" outlineLevel="0" collapsed="false">
      <c r="A26" s="4" t="n">
        <v>7</v>
      </c>
      <c r="B26" s="5" t="n">
        <f aca="false">Konservativ!H20</f>
        <v>1122.01958706863</v>
      </c>
      <c r="C26" s="5" t="n">
        <f aca="false">Basis!H20</f>
        <v>1928.24346494353</v>
      </c>
      <c r="D26" s="5" t="n">
        <f aca="false">Optimistisch!H20</f>
        <v>3388.47256540358</v>
      </c>
    </row>
    <row r="27" customFormat="false" ht="15" hidden="false" customHeight="false" outlineLevel="0" collapsed="false">
      <c r="A27" s="4" t="n">
        <v>8</v>
      </c>
      <c r="B27" s="5" t="n">
        <f aca="false">Konservativ!I20</f>
        <v>1480.85748611321</v>
      </c>
      <c r="C27" s="5" t="n">
        <f aca="false">Basis!I20</f>
        <v>2457.39793733235</v>
      </c>
      <c r="D27" s="5" t="n">
        <f aca="false">Optimistisch!I20</f>
        <v>4123.39738674284</v>
      </c>
    </row>
    <row r="28" customFormat="false" ht="15" hidden="false" customHeight="false" outlineLevel="0" collapsed="false">
      <c r="A28" s="4" t="n">
        <v>9</v>
      </c>
      <c r="B28" s="5" t="n">
        <f aca="false">Konservativ!J20</f>
        <v>1831.05043345001</v>
      </c>
      <c r="C28" s="5" t="n">
        <f aca="false">Basis!J20</f>
        <v>2973.51210406375</v>
      </c>
      <c r="D28" s="5" t="n">
        <f aca="false">Optimistisch!J20</f>
        <v>4840.13338358496</v>
      </c>
    </row>
    <row r="29" customFormat="false" ht="15" hidden="false" customHeight="false" outlineLevel="0" collapsed="false">
      <c r="A29" s="4" t="n">
        <v>10</v>
      </c>
      <c r="B29" s="5" t="n">
        <f aca="false">Konservativ!K20</f>
        <v>2172.83608097243</v>
      </c>
      <c r="C29" s="5" t="n">
        <f aca="false">Basis!K20</f>
        <v>3476.95015017121</v>
      </c>
      <c r="D29" s="5" t="n">
        <f aca="false">Optimistisch!K20</f>
        <v>5539.18659175225</v>
      </c>
    </row>
    <row r="30" customFormat="false" ht="15" hidden="false" customHeight="false" outlineLevel="0" collapsed="false">
      <c r="A30" s="4" t="n">
        <v>11</v>
      </c>
      <c r="B30" s="5" t="n">
        <f aca="false">Konservativ!L20</f>
        <v>2506.44495453586</v>
      </c>
      <c r="C30" s="5" t="n">
        <f aca="false">Basis!L20</f>
        <v>3968.0652027526</v>
      </c>
      <c r="D30" s="5" t="n">
        <f aca="false">Optimistisch!L20</f>
        <v>6221.047747396</v>
      </c>
    </row>
    <row r="31" customFormat="false" ht="15" hidden="false" customHeight="false" outlineLevel="0" collapsed="false">
      <c r="A31" s="4" t="n">
        <v>12</v>
      </c>
      <c r="B31" s="5" t="n">
        <f aca="false">Konservativ!M20</f>
        <v>2832.1006809063</v>
      </c>
      <c r="C31" s="5" t="n">
        <f aca="false">Basis!M20</f>
        <v>4447.19968713436</v>
      </c>
      <c r="D31" s="5" t="n">
        <f aca="false">Optimistisch!M20</f>
        <v>6886.19277889756</v>
      </c>
    </row>
    <row r="32" customFormat="false" ht="15" hidden="false" customHeight="false" outlineLevel="0" collapsed="false">
      <c r="A32" s="4" t="n">
        <v>13</v>
      </c>
      <c r="B32" s="5" t="n">
        <f aca="false">Konservativ!N20</f>
        <v>3263.22020714758</v>
      </c>
      <c r="C32" s="5" t="n">
        <f aca="false">Basis!N20</f>
        <v>5126.38567104241</v>
      </c>
      <c r="D32" s="5" t="n">
        <f aca="false">Optimistisch!N20</f>
        <v>7828.83328219153</v>
      </c>
    </row>
    <row r="33" customFormat="false" ht="15" hidden="false" customHeight="false" outlineLevel="0" collapsed="false">
      <c r="A33" s="4" t="n">
        <v>14</v>
      </c>
      <c r="B33" s="5" t="n">
        <f aca="false">Konservativ!O20</f>
        <v>3684.20201270793</v>
      </c>
      <c r="C33" s="5" t="n">
        <f aca="false">Basis!O20</f>
        <v>5789.32419719811</v>
      </c>
      <c r="D33" s="5" t="n">
        <f aca="false">Optimistisch!O20</f>
        <v>8748.37198009099</v>
      </c>
    </row>
    <row r="34" customFormat="false" ht="15" hidden="false" customHeight="false" outlineLevel="0" collapsed="false">
      <c r="A34" s="4" t="n">
        <v>15</v>
      </c>
      <c r="B34" s="5" t="n">
        <f aca="false">Konservativ!P20</f>
        <v>4095.31749445815</v>
      </c>
      <c r="C34" s="5" t="n">
        <f aca="false">Basis!P20</f>
        <v>6436.45425474247</v>
      </c>
      <c r="D34" s="5" t="n">
        <f aca="false">Optimistisch!P20</f>
        <v>9645.44581617341</v>
      </c>
    </row>
    <row r="35" customFormat="false" ht="15" hidden="false" customHeight="false" outlineLevel="0" collapsed="false">
      <c r="A35" s="4" t="n">
        <v>16</v>
      </c>
      <c r="B35" s="5" t="n">
        <f aca="false">Konservativ!Q20</f>
        <v>4496.83009592383</v>
      </c>
      <c r="C35" s="5" t="n">
        <f aca="false">Basis!Q20</f>
        <v>7068.20187937742</v>
      </c>
      <c r="D35" s="5" t="n">
        <f aca="false">Optimistisch!Q20</f>
        <v>10520.672619266</v>
      </c>
    </row>
    <row r="36" customFormat="false" ht="15" hidden="false" customHeight="false" outlineLevel="0" collapsed="false">
      <c r="A36" s="4" t="n">
        <v>17</v>
      </c>
      <c r="B36" s="5" t="n">
        <f aca="false">Konservativ!R20</f>
        <v>4888.99555614823</v>
      </c>
      <c r="C36" s="5" t="n">
        <f aca="false">Basis!R20</f>
        <v>7684.98056161598</v>
      </c>
      <c r="D36" s="5" t="n">
        <f aca="false">Optimistisch!R20</f>
        <v>11374.6517144746</v>
      </c>
    </row>
    <row r="37" customFormat="false" ht="15" hidden="false" customHeight="false" outlineLevel="0" collapsed="false">
      <c r="A37" s="4" t="n">
        <v>18</v>
      </c>
      <c r="B37" s="5" t="n">
        <f aca="false">Konservativ!S20</f>
        <v>5272.0621503687</v>
      </c>
      <c r="C37" s="5" t="n">
        <f aca="false">Basis!S20</f>
        <v>8287.19164149433</v>
      </c>
      <c r="D37" s="5" t="n">
        <f aca="false">Optimistisch!S20</f>
        <v>12207.9645137089</v>
      </c>
    </row>
    <row r="38" customFormat="false" ht="15" hidden="false" customHeight="false" outlineLevel="0" collapsed="false">
      <c r="A38" s="4" t="n">
        <v>19</v>
      </c>
      <c r="B38" s="5" t="n">
        <f aca="false">Konservativ!T20</f>
        <v>5646.27092278694</v>
      </c>
      <c r="C38" s="5" t="n">
        <f aca="false">Basis!T20</f>
        <v>8875.22469021319</v>
      </c>
      <c r="D38" s="5" t="n">
        <f aca="false">Optimistisch!T20</f>
        <v>13021.1750864183</v>
      </c>
    </row>
    <row r="39" customFormat="false" ht="15" hidden="false" customHeight="false" outlineLevel="0" collapsed="false">
      <c r="A39" s="4" t="n">
        <v>20</v>
      </c>
      <c r="B39" s="5" t="n">
        <f aca="false">Konservativ!U20</f>
        <v>6011.85591170324</v>
      </c>
      <c r="C39" s="5" t="n">
        <f aca="false">Basis!U20</f>
        <v>9449.45787915892</v>
      </c>
      <c r="D39" s="5" t="n">
        <f aca="false">Optimistisch!U20</f>
        <v>13814.8307112266</v>
      </c>
    </row>
    <row r="40" customFormat="false" ht="15" hidden="false" customHeight="false" outlineLevel="0" collapsed="false">
      <c r="A40" s="4" t="n">
        <v>21</v>
      </c>
      <c r="B40" s="5" t="n">
        <f aca="false">Konservativ!V20</f>
        <v>6369.04436727554</v>
      </c>
      <c r="C40" s="5" t="n">
        <f aca="false">Basis!V20</f>
        <v>10010.2583367389</v>
      </c>
      <c r="D40" s="5" t="n">
        <f aca="false">Optimistisch!V20</f>
        <v>14589.462409132</v>
      </c>
    </row>
    <row r="41" customFormat="false" ht="15" hidden="false" customHeight="false" outlineLevel="0" collapsed="false">
      <c r="A41" s="4" t="n">
        <v>22</v>
      </c>
      <c r="B41" s="5" t="n">
        <f aca="false">Konservativ!W20</f>
        <v>6718.0569621547</v>
      </c>
      <c r="C41" s="5" t="n">
        <f aca="false">Basis!W20</f>
        <v>10557.9824934507</v>
      </c>
      <c r="D41" s="5" t="n">
        <f aca="false">Optimistisch!W20</f>
        <v>15345.5854589101</v>
      </c>
    </row>
    <row r="42" customFormat="false" ht="15" hidden="false" customHeight="false" outlineLevel="0" collapsed="false">
      <c r="A42" s="4" t="n">
        <v>23</v>
      </c>
      <c r="B42" s="5" t="n">
        <f aca="false">Konservativ!X20</f>
        <v>7059.10799523872</v>
      </c>
      <c r="C42" s="5" t="n">
        <f aca="false">Basis!X20</f>
        <v>11092.9764155884</v>
      </c>
      <c r="D42" s="5" t="n">
        <f aca="false">Optimistisch!X20</f>
        <v>16083.6998953402</v>
      </c>
    </row>
    <row r="43" customFormat="false" ht="15" hidden="false" customHeight="false" outlineLevel="0" collapsed="false">
      <c r="A43" s="4" t="n">
        <v>24</v>
      </c>
      <c r="B43" s="5" t="n">
        <f aca="false">Konservativ!Y20</f>
        <v>7392.40558878006</v>
      </c>
      <c r="C43" s="5" t="n">
        <f aca="false">Basis!Y20</f>
        <v>11615.576127977</v>
      </c>
      <c r="D43" s="5" t="n">
        <f aca="false">Optimistisch!Y20</f>
        <v>16804.2909908476</v>
      </c>
    </row>
    <row r="46" customFormat="false" ht="17.35" hidden="false" customHeight="false" outlineLevel="0" collapsed="false">
      <c r="A46" s="1" t="s">
        <v>19</v>
      </c>
    </row>
    <row r="47" customFormat="false" ht="15" hidden="false" customHeight="false" outlineLevel="0" collapsed="false">
      <c r="A47" s="4" t="s">
        <v>20</v>
      </c>
      <c r="B47" s="5" t="n">
        <f aca="false">'1-Mio-Plan 2027'!Q25</f>
        <v>1094296.6372045</v>
      </c>
    </row>
    <row r="48" customFormat="false" ht="15" hidden="false" customHeight="false" outlineLevel="0" collapsed="false">
      <c r="A48" s="4" t="s">
        <v>21</v>
      </c>
      <c r="B48" s="5" t="n">
        <f aca="false">'1-Mio-Plan 2027'!Q36</f>
        <v>162894.129073489</v>
      </c>
    </row>
    <row r="49" customFormat="false" ht="15" hidden="false" customHeight="false" outlineLevel="0" collapsed="false">
      <c r="A49" s="4" t="s">
        <v>22</v>
      </c>
      <c r="B49" s="5" t="n">
        <f aca="false">'1-Mio-Plan 2027'!P23</f>
        <v>124281.082179767</v>
      </c>
    </row>
    <row r="50" customFormat="false" ht="15" hidden="false" customHeight="false" outlineLevel="0" collapsed="false">
      <c r="A50" s="4" t="s">
        <v>23</v>
      </c>
      <c r="B50" s="5" t="n">
        <f aca="false">MIN(0,MIN('1-Mio-Plan 2027'!E37:P37))</f>
        <v>-14033.8591419553</v>
      </c>
    </row>
    <row r="51" customFormat="false" ht="15" hidden="false" customHeight="false" outlineLevel="0" collapsed="false">
      <c r="A51" s="4" t="s">
        <v>24</v>
      </c>
      <c r="B51" s="7" t="n">
        <f aca="false">'1-Mio-Plan 2027'!Q10</f>
        <v>229.5</v>
      </c>
    </row>
    <row r="52" customFormat="false" ht="15" hidden="false" customHeight="false" outlineLevel="0" collapsed="false">
      <c r="A52" s="4" t="s">
        <v>25</v>
      </c>
      <c r="B52" s="7" t="n">
        <f aca="false">'1-Mio-Plan 2027'!P28</f>
        <v>11.1205108152106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17" min="5" style="0" width="11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3" t="s">
        <v>28</v>
      </c>
      <c r="B4" s="3" t="s">
        <v>29</v>
      </c>
      <c r="D4" s="3" t="s">
        <v>2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  <c r="M4" s="3" t="s">
        <v>38</v>
      </c>
      <c r="N4" s="3" t="s">
        <v>39</v>
      </c>
      <c r="O4" s="3" t="s">
        <v>40</v>
      </c>
      <c r="P4" s="3" t="s">
        <v>41</v>
      </c>
      <c r="Q4" s="3" t="s">
        <v>42</v>
      </c>
    </row>
    <row r="5" customFormat="false" ht="15" hidden="false" customHeight="false" outlineLevel="0" collapsed="false">
      <c r="A5" s="4" t="s">
        <v>43</v>
      </c>
      <c r="B5" s="9" t="n">
        <v>3200</v>
      </c>
      <c r="D5" s="4" t="s">
        <v>44</v>
      </c>
      <c r="E5" s="10" t="n">
        <v>1</v>
      </c>
      <c r="F5" s="10" t="n">
        <v>2</v>
      </c>
      <c r="G5" s="10" t="n">
        <v>2</v>
      </c>
      <c r="H5" s="10" t="n">
        <v>3</v>
      </c>
      <c r="I5" s="10" t="n">
        <v>4</v>
      </c>
      <c r="J5" s="10" t="n">
        <v>4</v>
      </c>
      <c r="K5" s="10" t="n">
        <v>5</v>
      </c>
      <c r="L5" s="10" t="n">
        <v>6</v>
      </c>
      <c r="M5" s="10" t="n">
        <v>6</v>
      </c>
      <c r="N5" s="10" t="n">
        <v>7</v>
      </c>
      <c r="O5" s="10" t="n">
        <v>7</v>
      </c>
      <c r="P5" s="10" t="n">
        <v>7</v>
      </c>
    </row>
    <row r="6" customFormat="false" ht="15" hidden="false" customHeight="false" outlineLevel="0" collapsed="false">
      <c r="A6" s="4" t="s">
        <v>45</v>
      </c>
      <c r="B6" s="9" t="n">
        <v>79</v>
      </c>
      <c r="D6" s="4" t="s">
        <v>46</v>
      </c>
      <c r="E6" s="10" t="n">
        <v>1</v>
      </c>
      <c r="F6" s="10" t="n">
        <v>1</v>
      </c>
      <c r="G6" s="10" t="n">
        <v>2</v>
      </c>
      <c r="H6" s="10" t="n">
        <v>2</v>
      </c>
      <c r="I6" s="10" t="n">
        <v>3</v>
      </c>
      <c r="J6" s="10" t="n">
        <v>4</v>
      </c>
      <c r="K6" s="10" t="n">
        <v>4</v>
      </c>
      <c r="L6" s="10" t="n">
        <v>5</v>
      </c>
      <c r="M6" s="10" t="n">
        <v>6</v>
      </c>
      <c r="N6" s="10" t="n">
        <v>6</v>
      </c>
      <c r="O6" s="10" t="n">
        <v>7</v>
      </c>
      <c r="P6" s="10" t="n">
        <v>7</v>
      </c>
    </row>
    <row r="7" customFormat="false" ht="15" hidden="false" customHeight="false" outlineLevel="0" collapsed="false">
      <c r="A7" s="4" t="s">
        <v>47</v>
      </c>
      <c r="B7" s="9" t="n">
        <v>520</v>
      </c>
      <c r="D7" s="4" t="s">
        <v>48</v>
      </c>
      <c r="E7" s="11" t="n">
        <f aca="false">MAX(0,E5-1)</f>
        <v>0</v>
      </c>
      <c r="F7" s="11" t="n">
        <f aca="false">MAX(0,F5-1)</f>
        <v>1</v>
      </c>
      <c r="G7" s="11" t="n">
        <f aca="false">MAX(0,G5-1)</f>
        <v>1</v>
      </c>
      <c r="H7" s="11" t="n">
        <f aca="false">MAX(0,H5-1)</f>
        <v>2</v>
      </c>
      <c r="I7" s="11" t="n">
        <f aca="false">MAX(0,I5-1)</f>
        <v>3</v>
      </c>
      <c r="J7" s="11" t="n">
        <f aca="false">MAX(0,J5-1)</f>
        <v>3</v>
      </c>
      <c r="K7" s="11" t="n">
        <f aca="false">MAX(0,K5-1)</f>
        <v>4</v>
      </c>
      <c r="L7" s="11" t="n">
        <f aca="false">MAX(0,L5-1)</f>
        <v>5</v>
      </c>
      <c r="M7" s="11" t="n">
        <f aca="false">MAX(0,M5-1)</f>
        <v>5</v>
      </c>
      <c r="N7" s="11" t="n">
        <f aca="false">MAX(0,N5-1)</f>
        <v>6</v>
      </c>
      <c r="O7" s="11" t="n">
        <f aca="false">MAX(0,O5-1)</f>
        <v>6</v>
      </c>
      <c r="P7" s="11" t="n">
        <f aca="false">MAX(0,P5-1)</f>
        <v>6</v>
      </c>
    </row>
    <row r="8" customFormat="false" ht="15" hidden="false" customHeight="false" outlineLevel="0" collapsed="false">
      <c r="A8" s="4" t="s">
        <v>49</v>
      </c>
      <c r="B8" s="9" t="n">
        <v>290</v>
      </c>
      <c r="D8" s="4" t="s">
        <v>50</v>
      </c>
      <c r="E8" s="11" t="n">
        <f aca="false">E7</f>
        <v>0</v>
      </c>
      <c r="F8" s="11" t="n">
        <f aca="false">MAX(0,F7-E7)</f>
        <v>1</v>
      </c>
      <c r="G8" s="11" t="n">
        <f aca="false">MAX(0,G7-F7)</f>
        <v>0</v>
      </c>
      <c r="H8" s="11" t="n">
        <f aca="false">MAX(0,H7-G7)</f>
        <v>1</v>
      </c>
      <c r="I8" s="11" t="n">
        <f aca="false">MAX(0,I7-H7)</f>
        <v>1</v>
      </c>
      <c r="J8" s="11" t="n">
        <f aca="false">MAX(0,J7-I7)</f>
        <v>0</v>
      </c>
      <c r="K8" s="11" t="n">
        <f aca="false">MAX(0,K7-J7)</f>
        <v>1</v>
      </c>
      <c r="L8" s="11" t="n">
        <f aca="false">MAX(0,L7-K7)</f>
        <v>1</v>
      </c>
      <c r="M8" s="11" t="n">
        <f aca="false">MAX(0,M7-L7)</f>
        <v>0</v>
      </c>
      <c r="N8" s="11" t="n">
        <f aca="false">MAX(0,N7-M7)</f>
        <v>1</v>
      </c>
      <c r="O8" s="11" t="n">
        <f aca="false">MAX(0,O7-N7)</f>
        <v>0</v>
      </c>
      <c r="P8" s="11" t="n">
        <f aca="false">MAX(0,P7-O7)</f>
        <v>0</v>
      </c>
    </row>
    <row r="9" customFormat="false" ht="15" hidden="false" customHeight="false" outlineLevel="0" collapsed="false">
      <c r="A9" s="4" t="s">
        <v>51</v>
      </c>
      <c r="B9" s="9" t="n">
        <v>390</v>
      </c>
      <c r="D9" s="4" t="s">
        <v>52</v>
      </c>
      <c r="E9" s="11" t="n">
        <f aca="false">E7-(1-$B$41)*E8</f>
        <v>0</v>
      </c>
      <c r="F9" s="11" t="n">
        <f aca="false">F7-(1-$B$41)*F8-(1-$B$42)*E8</f>
        <v>0.25</v>
      </c>
      <c r="G9" s="11" t="n">
        <f aca="false">G7-(1-$B$41)*G8-(1-$B$42)*F8-(1-$B$43)*E8</f>
        <v>0.5</v>
      </c>
      <c r="H9" s="11" t="n">
        <f aca="false">H7-(1-$B$41)*H8-(1-$B$42)*G8-(1-$B$43)*F8</f>
        <v>1</v>
      </c>
      <c r="I9" s="11" t="n">
        <f aca="false">I7-(1-$B$41)*I8-(1-$B$42)*H8-(1-$B$43)*G8</f>
        <v>1.75</v>
      </c>
      <c r="J9" s="11" t="n">
        <f aca="false">J7-(1-$B$41)*J8-(1-$B$42)*I8-(1-$B$43)*H8</f>
        <v>2.25</v>
      </c>
      <c r="K9" s="11" t="n">
        <f aca="false">K7-(1-$B$41)*K8-(1-$B$42)*J8-(1-$B$43)*I8</f>
        <v>3</v>
      </c>
      <c r="L9" s="11" t="n">
        <f aca="false">L7-(1-$B$41)*L8-(1-$B$42)*K8-(1-$B$43)*J8</f>
        <v>3.75</v>
      </c>
      <c r="M9" s="11" t="n">
        <f aca="false">M7-(1-$B$41)*M8-(1-$B$42)*L8-(1-$B$43)*K8</f>
        <v>4.25</v>
      </c>
      <c r="N9" s="11" t="n">
        <f aca="false">N7-(1-$B$41)*N8-(1-$B$42)*M8-(1-$B$43)*L8</f>
        <v>5</v>
      </c>
      <c r="O9" s="11" t="n">
        <f aca="false">O7-(1-$B$41)*O8-(1-$B$42)*N8-(1-$B$43)*M8</f>
        <v>5.5</v>
      </c>
      <c r="P9" s="11" t="n">
        <f aca="false">P7-(1-$B$41)*P8-(1-$B$42)*O8-(1-$B$43)*N8</f>
        <v>5.75</v>
      </c>
    </row>
    <row r="10" customFormat="false" ht="15" hidden="false" customHeight="false" outlineLevel="0" collapsed="false">
      <c r="A10" s="4" t="s">
        <v>53</v>
      </c>
      <c r="B10" s="9" t="n">
        <v>1190</v>
      </c>
      <c r="D10" s="8" t="s">
        <v>54</v>
      </c>
      <c r="E10" s="12" t="n">
        <f aca="false">$B$24+E9*$B$23</f>
        <v>4</v>
      </c>
      <c r="F10" s="12" t="n">
        <f aca="false">$B$24+F9*$B$23</f>
        <v>5.375</v>
      </c>
      <c r="G10" s="12" t="n">
        <f aca="false">$B$24+G9*$B$23</f>
        <v>6.75</v>
      </c>
      <c r="H10" s="12" t="n">
        <f aca="false">$B$24+H9*$B$23</f>
        <v>9.5</v>
      </c>
      <c r="I10" s="12" t="n">
        <f aca="false">$B$24+I9*$B$23</f>
        <v>13.625</v>
      </c>
      <c r="J10" s="12" t="n">
        <f aca="false">$B$24+J9*$B$23</f>
        <v>16.375</v>
      </c>
      <c r="K10" s="12" t="n">
        <f aca="false">$B$24+K9*$B$23</f>
        <v>20.5</v>
      </c>
      <c r="L10" s="12" t="n">
        <f aca="false">$B$24+L9*$B$23</f>
        <v>24.625</v>
      </c>
      <c r="M10" s="12" t="n">
        <f aca="false">$B$24+M9*$B$23</f>
        <v>27.375</v>
      </c>
      <c r="N10" s="12" t="n">
        <f aca="false">$B$24+N9*$B$23</f>
        <v>31.5</v>
      </c>
      <c r="O10" s="12" t="n">
        <f aca="false">$B$24+O9*$B$23</f>
        <v>34.25</v>
      </c>
      <c r="P10" s="12" t="n">
        <f aca="false">$B$24+P9*$B$23</f>
        <v>35.625</v>
      </c>
      <c r="Q10" s="12" t="n">
        <f aca="false">SUM(E10:P10)</f>
        <v>229.5</v>
      </c>
    </row>
    <row r="11" customFormat="false" ht="15" hidden="false" customHeight="false" outlineLevel="0" collapsed="false">
      <c r="A11" s="4" t="s">
        <v>55</v>
      </c>
      <c r="B11" s="9" t="n">
        <v>1490</v>
      </c>
      <c r="D11" s="4" t="s">
        <v>56</v>
      </c>
      <c r="E11" s="11" t="n">
        <f aca="false">E10*$B$13</f>
        <v>2.4</v>
      </c>
      <c r="F11" s="11" t="n">
        <f aca="false">F10*$B$13</f>
        <v>3.225</v>
      </c>
      <c r="G11" s="11" t="n">
        <f aca="false">G10*$B$13</f>
        <v>4.05</v>
      </c>
      <c r="H11" s="11" t="n">
        <f aca="false">H10*$B$13</f>
        <v>5.7</v>
      </c>
      <c r="I11" s="11" t="n">
        <f aca="false">I10*$B$13</f>
        <v>8.175</v>
      </c>
      <c r="J11" s="11" t="n">
        <f aca="false">J10*$B$13</f>
        <v>9.825</v>
      </c>
      <c r="K11" s="11" t="n">
        <f aca="false">K10*$B$13</f>
        <v>12.3</v>
      </c>
      <c r="L11" s="11" t="n">
        <f aca="false">L10*$B$13</f>
        <v>14.775</v>
      </c>
      <c r="M11" s="11" t="n">
        <f aca="false">M10*$B$13</f>
        <v>16.425</v>
      </c>
      <c r="N11" s="11" t="n">
        <f aca="false">N10*$B$13</f>
        <v>18.9</v>
      </c>
      <c r="O11" s="11" t="n">
        <f aca="false">O10*$B$13</f>
        <v>20.55</v>
      </c>
      <c r="P11" s="11" t="n">
        <f aca="false">P10*$B$13</f>
        <v>21.375</v>
      </c>
      <c r="Q11" s="12" t="n">
        <f aca="false">SUM(E11:P11)</f>
        <v>137.7</v>
      </c>
    </row>
    <row r="12" customFormat="false" ht="15" hidden="false" customHeight="false" outlineLevel="0" collapsed="false">
      <c r="A12" s="4" t="s">
        <v>57</v>
      </c>
      <c r="B12" s="9" t="n">
        <v>790</v>
      </c>
      <c r="D12" s="4" t="s">
        <v>58</v>
      </c>
      <c r="E12" s="11" t="n">
        <f aca="false">E11*$B$16</f>
        <v>0.84</v>
      </c>
      <c r="F12" s="11" t="n">
        <f aca="false">F11*$B$16</f>
        <v>1.12875</v>
      </c>
      <c r="G12" s="11" t="n">
        <f aca="false">G11*$B$16</f>
        <v>1.4175</v>
      </c>
      <c r="H12" s="11" t="n">
        <f aca="false">H11*$B$16</f>
        <v>1.995</v>
      </c>
      <c r="I12" s="11" t="n">
        <f aca="false">I11*$B$16</f>
        <v>2.86125</v>
      </c>
      <c r="J12" s="11" t="n">
        <f aca="false">J11*$B$16</f>
        <v>3.43875</v>
      </c>
      <c r="K12" s="11" t="n">
        <f aca="false">K11*$B$16</f>
        <v>4.305</v>
      </c>
      <c r="L12" s="11" t="n">
        <f aca="false">L11*$B$16</f>
        <v>5.17125</v>
      </c>
      <c r="M12" s="11" t="n">
        <f aca="false">M11*$B$16</f>
        <v>5.74875</v>
      </c>
      <c r="N12" s="11" t="n">
        <f aca="false">N11*$B$16</f>
        <v>6.615</v>
      </c>
      <c r="O12" s="11" t="n">
        <f aca="false">O11*$B$16</f>
        <v>7.1925</v>
      </c>
      <c r="P12" s="11" t="n">
        <f aca="false">P11*$B$16</f>
        <v>7.48125</v>
      </c>
      <c r="Q12" s="12" t="n">
        <f aca="false">SUM(E12:P12)</f>
        <v>48.195</v>
      </c>
    </row>
    <row r="13" customFormat="false" ht="15" hidden="false" customHeight="false" outlineLevel="0" collapsed="false">
      <c r="A13" s="4" t="s">
        <v>59</v>
      </c>
      <c r="B13" s="13" t="n">
        <v>0.6</v>
      </c>
      <c r="D13" s="4" t="s">
        <v>60</v>
      </c>
      <c r="E13" s="11" t="n">
        <f aca="false">E11*$B$17</f>
        <v>0.48</v>
      </c>
      <c r="F13" s="11" t="n">
        <f aca="false">F11*$B$17</f>
        <v>0.645</v>
      </c>
      <c r="G13" s="11" t="n">
        <f aca="false">G11*$B$17</f>
        <v>0.81</v>
      </c>
      <c r="H13" s="11" t="n">
        <f aca="false">H11*$B$17</f>
        <v>1.14</v>
      </c>
      <c r="I13" s="11" t="n">
        <f aca="false">I11*$B$17</f>
        <v>1.635</v>
      </c>
      <c r="J13" s="11" t="n">
        <f aca="false">J11*$B$17</f>
        <v>1.965</v>
      </c>
      <c r="K13" s="11" t="n">
        <f aca="false">K11*$B$17</f>
        <v>2.46</v>
      </c>
      <c r="L13" s="11" t="n">
        <f aca="false">L11*$B$17</f>
        <v>2.955</v>
      </c>
      <c r="M13" s="11" t="n">
        <f aca="false">M11*$B$17</f>
        <v>3.285</v>
      </c>
      <c r="N13" s="11" t="n">
        <f aca="false">N11*$B$17</f>
        <v>3.78</v>
      </c>
      <c r="O13" s="11" t="n">
        <f aca="false">O11*$B$17</f>
        <v>4.11</v>
      </c>
      <c r="P13" s="11" t="n">
        <f aca="false">P11*$B$17</f>
        <v>4.275</v>
      </c>
      <c r="Q13" s="12" t="n">
        <f aca="false">SUM(E13:P13)</f>
        <v>27.54</v>
      </c>
    </row>
    <row r="14" customFormat="false" ht="15" hidden="false" customHeight="false" outlineLevel="0" collapsed="false">
      <c r="A14" s="4" t="s">
        <v>61</v>
      </c>
      <c r="B14" s="14" t="n">
        <v>0.22</v>
      </c>
      <c r="D14" s="4" t="s">
        <v>62</v>
      </c>
      <c r="E14" s="11" t="n">
        <f aca="false">E10*$B$14</f>
        <v>0.88</v>
      </c>
      <c r="F14" s="11" t="n">
        <f aca="false">F10*$B$14</f>
        <v>1.1825</v>
      </c>
      <c r="G14" s="11" t="n">
        <f aca="false">G10*$B$14</f>
        <v>1.485</v>
      </c>
      <c r="H14" s="11" t="n">
        <f aca="false">H10*$B$14</f>
        <v>2.09</v>
      </c>
      <c r="I14" s="11" t="n">
        <f aca="false">I10*$B$14</f>
        <v>2.9975</v>
      </c>
      <c r="J14" s="11" t="n">
        <f aca="false">J10*$B$14</f>
        <v>3.6025</v>
      </c>
      <c r="K14" s="11" t="n">
        <f aca="false">K10*$B$14</f>
        <v>4.51</v>
      </c>
      <c r="L14" s="11" t="n">
        <f aca="false">L10*$B$14</f>
        <v>5.4175</v>
      </c>
      <c r="M14" s="11" t="n">
        <f aca="false">M10*$B$14</f>
        <v>6.0225</v>
      </c>
      <c r="N14" s="11" t="n">
        <f aca="false">N10*$B$14</f>
        <v>6.93</v>
      </c>
      <c r="O14" s="11" t="n">
        <f aca="false">O10*$B$14</f>
        <v>7.535</v>
      </c>
      <c r="P14" s="11" t="n">
        <f aca="false">P10*$B$14</f>
        <v>7.8375</v>
      </c>
      <c r="Q14" s="12" t="n">
        <f aca="false">SUM(E14:P14)</f>
        <v>50.49</v>
      </c>
    </row>
    <row r="15" customFormat="false" ht="15" hidden="false" customHeight="false" outlineLevel="0" collapsed="false">
      <c r="A15" s="4" t="s">
        <v>63</v>
      </c>
      <c r="B15" s="13" t="n">
        <v>0.18</v>
      </c>
      <c r="D15" s="4" t="s">
        <v>64</v>
      </c>
      <c r="E15" s="11" t="n">
        <f aca="false">E10*$B$15</f>
        <v>0.72</v>
      </c>
      <c r="F15" s="11" t="n">
        <f aca="false">F10*$B$15</f>
        <v>0.9675</v>
      </c>
      <c r="G15" s="11" t="n">
        <f aca="false">G10*$B$15</f>
        <v>1.215</v>
      </c>
      <c r="H15" s="11" t="n">
        <f aca="false">H10*$B$15</f>
        <v>1.71</v>
      </c>
      <c r="I15" s="11" t="n">
        <f aca="false">I10*$B$15</f>
        <v>2.4525</v>
      </c>
      <c r="J15" s="11" t="n">
        <f aca="false">J10*$B$15</f>
        <v>2.9475</v>
      </c>
      <c r="K15" s="11" t="n">
        <f aca="false">K10*$B$15</f>
        <v>3.69</v>
      </c>
      <c r="L15" s="11" t="n">
        <f aca="false">L10*$B$15</f>
        <v>4.4325</v>
      </c>
      <c r="M15" s="11" t="n">
        <f aca="false">M10*$B$15</f>
        <v>4.9275</v>
      </c>
      <c r="N15" s="11" t="n">
        <f aca="false">N10*$B$15</f>
        <v>5.67</v>
      </c>
      <c r="O15" s="11" t="n">
        <f aca="false">O10*$B$15</f>
        <v>6.165</v>
      </c>
      <c r="P15" s="11" t="n">
        <f aca="false">P10*$B$15</f>
        <v>6.4125</v>
      </c>
      <c r="Q15" s="12" t="n">
        <f aca="false">SUM(E15:P15)</f>
        <v>41.31</v>
      </c>
    </row>
    <row r="16" customFormat="false" ht="15" hidden="false" customHeight="false" outlineLevel="0" collapsed="false">
      <c r="A16" s="4" t="s">
        <v>65</v>
      </c>
      <c r="B16" s="13" t="n">
        <v>0.35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</row>
    <row r="17" customFormat="false" ht="15" hidden="false" customHeight="false" outlineLevel="0" collapsed="false">
      <c r="A17" s="4" t="s">
        <v>66</v>
      </c>
      <c r="B17" s="13" t="n">
        <v>0.2</v>
      </c>
      <c r="D17" s="4" t="s">
        <v>67</v>
      </c>
      <c r="E17" s="11" t="n">
        <f aca="false">$B$46*(1-$B$18)+E11</f>
        <v>6.36</v>
      </c>
      <c r="F17" s="11" t="n">
        <f aca="false">E17*(1-$B$18)+F11</f>
        <v>9.5214</v>
      </c>
      <c r="G17" s="11" t="n">
        <f aca="false">F17*(1-$B$18)+G11</f>
        <v>13.476186</v>
      </c>
      <c r="H17" s="11" t="n">
        <f aca="false">G17*(1-$B$18)+H11</f>
        <v>19.04142414</v>
      </c>
      <c r="I17" s="11" t="n">
        <f aca="false">H17*(1-$B$18)+I11</f>
        <v>27.0260098986</v>
      </c>
      <c r="J17" s="11" t="n">
        <f aca="false">I17*(1-$B$18)+J11</f>
        <v>36.580749799614</v>
      </c>
      <c r="K17" s="11" t="n">
        <f aca="false">J17*(1-$B$18)+K11</f>
        <v>48.5149423016179</v>
      </c>
      <c r="L17" s="11" t="n">
        <f aca="false">K17*(1-$B$18)+L11</f>
        <v>62.8047928786017</v>
      </c>
      <c r="M17" s="11" t="n">
        <f aca="false">L17*(1-$B$18)+M11</f>
        <v>78.6017449498157</v>
      </c>
      <c r="N17" s="11" t="n">
        <f aca="false">M17*(1-$B$18)+N11</f>
        <v>96.7157275003175</v>
      </c>
      <c r="O17" s="11" t="n">
        <f aca="false">N17*(1-$B$18)+O11</f>
        <v>116.298570225314</v>
      </c>
      <c r="P17" s="11" t="n">
        <f aca="false">O17*(1-$B$18)+P11</f>
        <v>136.510584523061</v>
      </c>
    </row>
    <row r="18" customFormat="false" ht="15" hidden="false" customHeight="false" outlineLevel="0" collapsed="false">
      <c r="A18" s="4" t="s">
        <v>68</v>
      </c>
      <c r="B18" s="13" t="n">
        <v>0.01</v>
      </c>
      <c r="D18" s="4" t="s">
        <v>69</v>
      </c>
      <c r="E18" s="11" t="n">
        <f aca="false">$B$47*(1-$B$19)+E12</f>
        <v>1.81</v>
      </c>
      <c r="F18" s="11" t="n">
        <f aca="false">E18*(1-$B$19)+F12</f>
        <v>2.88445</v>
      </c>
      <c r="G18" s="11" t="n">
        <f aca="false">F18*(1-$B$19)+G12</f>
        <v>4.2154165</v>
      </c>
      <c r="H18" s="11" t="n">
        <f aca="false">G18*(1-$B$19)+H12</f>
        <v>6.083954005</v>
      </c>
      <c r="I18" s="11" t="n">
        <f aca="false">H18*(1-$B$19)+I12</f>
        <v>8.76268538485</v>
      </c>
      <c r="J18" s="11" t="n">
        <f aca="false">I18*(1-$B$19)+J12</f>
        <v>11.9385548233045</v>
      </c>
      <c r="K18" s="11" t="n">
        <f aca="false">J18*(1-$B$19)+K12</f>
        <v>15.8853981786054</v>
      </c>
      <c r="L18" s="11" t="n">
        <f aca="false">K18*(1-$B$19)+L12</f>
        <v>20.5800862332472</v>
      </c>
      <c r="M18" s="11" t="n">
        <f aca="false">L18*(1-$B$19)+M12</f>
        <v>25.7114336462498</v>
      </c>
      <c r="N18" s="11" t="n">
        <f aca="false">M18*(1-$B$19)+N12</f>
        <v>31.5550906368623</v>
      </c>
      <c r="O18" s="11" t="n">
        <f aca="false">N18*(1-$B$19)+O12</f>
        <v>37.8009379177564</v>
      </c>
      <c r="P18" s="11" t="n">
        <f aca="false">O18*(1-$B$19)+P12</f>
        <v>44.1481597802237</v>
      </c>
    </row>
    <row r="19" customFormat="false" ht="15" hidden="false" customHeight="false" outlineLevel="0" collapsed="false">
      <c r="A19" s="4" t="s">
        <v>70</v>
      </c>
      <c r="B19" s="13" t="n">
        <v>0.03</v>
      </c>
      <c r="D19" s="4" t="s">
        <v>71</v>
      </c>
      <c r="E19" s="11" t="n">
        <f aca="false">$B$48*(1-$B$20)+E13</f>
        <v>0.48</v>
      </c>
      <c r="F19" s="11" t="n">
        <f aca="false">E19*(1-$B$20)+F13</f>
        <v>1.1058</v>
      </c>
      <c r="G19" s="11" t="n">
        <f aca="false">F19*(1-$B$20)+G13</f>
        <v>1.871568</v>
      </c>
      <c r="H19" s="11" t="n">
        <f aca="false">G19*(1-$B$20)+H13</f>
        <v>2.93670528</v>
      </c>
      <c r="I19" s="11" t="n">
        <f aca="false">H19*(1-$B$20)+I13</f>
        <v>4.4542370688</v>
      </c>
      <c r="J19" s="11" t="n">
        <f aca="false">I19*(1-$B$20)+J13</f>
        <v>6.241067586048</v>
      </c>
      <c r="K19" s="11" t="n">
        <f aca="false">J19*(1-$B$20)+K13</f>
        <v>8.45142488260608</v>
      </c>
      <c r="L19" s="11" t="n">
        <f aca="false">K19*(1-$B$20)+L13</f>
        <v>11.0683678873018</v>
      </c>
      <c r="M19" s="11" t="n">
        <f aca="false">L19*(1-$B$20)+M13</f>
        <v>13.9106331718098</v>
      </c>
      <c r="N19" s="11" t="n">
        <f aca="false">M19*(1-$B$20)+N13</f>
        <v>17.1342078449374</v>
      </c>
      <c r="O19" s="11" t="n">
        <f aca="false">N19*(1-$B$20)+O13</f>
        <v>20.5588395311399</v>
      </c>
      <c r="P19" s="11" t="n">
        <f aca="false">O19*(1-$B$20)+P13</f>
        <v>24.0114859498943</v>
      </c>
    </row>
    <row r="20" customFormat="false" ht="15" hidden="false" customHeight="false" outlineLevel="0" collapsed="false">
      <c r="A20" s="4" t="s">
        <v>72</v>
      </c>
      <c r="B20" s="13" t="n">
        <v>0.04</v>
      </c>
      <c r="D20" s="4" t="s">
        <v>73</v>
      </c>
      <c r="E20" s="11" t="n">
        <f aca="false">$B$49*(1-$B$21)+E14</f>
        <v>0.88</v>
      </c>
      <c r="F20" s="11" t="n">
        <f aca="false">E20*(1-$B$21)+F14</f>
        <v>2.0449</v>
      </c>
      <c r="G20" s="11" t="n">
        <f aca="false">F20*(1-$B$21)+G14</f>
        <v>3.489002</v>
      </c>
      <c r="H20" s="11" t="n">
        <f aca="false">G20*(1-$B$21)+H14</f>
        <v>5.50922196</v>
      </c>
      <c r="I20" s="11" t="n">
        <f aca="false">H20*(1-$B$21)+I14</f>
        <v>8.3965375208</v>
      </c>
      <c r="J20" s="11" t="n">
        <f aca="false">I20*(1-$B$21)+J14</f>
        <v>11.831106770384</v>
      </c>
      <c r="K20" s="11" t="n">
        <f aca="false">J20*(1-$B$21)+K14</f>
        <v>16.1044846349763</v>
      </c>
      <c r="L20" s="11" t="n">
        <f aca="false">K20*(1-$B$21)+L14</f>
        <v>21.1998949422768</v>
      </c>
      <c r="M20" s="11" t="n">
        <f aca="false">L20*(1-$B$21)+M14</f>
        <v>26.7983970434313</v>
      </c>
      <c r="N20" s="11" t="n">
        <f aca="false">M20*(1-$B$21)+N14</f>
        <v>33.1924291025626</v>
      </c>
      <c r="O20" s="11" t="n">
        <f aca="false">N20*(1-$B$21)+O14</f>
        <v>40.0635805205114</v>
      </c>
      <c r="P20" s="11" t="n">
        <f aca="false">O20*(1-$B$21)+P14</f>
        <v>47.0998089101012</v>
      </c>
    </row>
    <row r="21" customFormat="false" ht="15" hidden="false" customHeight="false" outlineLevel="0" collapsed="false">
      <c r="A21" s="4" t="s">
        <v>74</v>
      </c>
      <c r="B21" s="13" t="n">
        <v>0.02</v>
      </c>
      <c r="D21" s="4" t="s">
        <v>75</v>
      </c>
      <c r="E21" s="11" t="n">
        <f aca="false">$B$50*(1-$B$22)+E15</f>
        <v>0.72</v>
      </c>
      <c r="F21" s="11" t="n">
        <f aca="false">E21*(1-$B$22)+F15</f>
        <v>1.6515</v>
      </c>
      <c r="G21" s="11" t="n">
        <f aca="false">F21*(1-$B$22)+G15</f>
        <v>2.783925</v>
      </c>
      <c r="H21" s="11" t="n">
        <f aca="false">G21*(1-$B$22)+H15</f>
        <v>4.35472875</v>
      </c>
      <c r="I21" s="11" t="n">
        <f aca="false">H21*(1-$B$22)+I15</f>
        <v>6.5894923125</v>
      </c>
      <c r="J21" s="11" t="n">
        <f aca="false">I21*(1-$B$22)+J15</f>
        <v>9.207517696875</v>
      </c>
      <c r="K21" s="11" t="n">
        <f aca="false">J21*(1-$B$22)+K15</f>
        <v>12.4371418120312</v>
      </c>
      <c r="L21" s="11" t="n">
        <f aca="false">K21*(1-$B$22)+L15</f>
        <v>16.2477847214297</v>
      </c>
      <c r="M21" s="11" t="n">
        <f aca="false">L21*(1-$B$22)+M15</f>
        <v>20.3628954853582</v>
      </c>
      <c r="N21" s="11" t="n">
        <f aca="false">M21*(1-$B$22)+N15</f>
        <v>25.0147507110903</v>
      </c>
      <c r="O21" s="11" t="n">
        <f aca="false">N21*(1-$B$22)+O15</f>
        <v>29.9290131755358</v>
      </c>
      <c r="P21" s="11" t="n">
        <f aca="false">O21*(1-$B$22)+P15</f>
        <v>34.845062516759</v>
      </c>
    </row>
    <row r="22" customFormat="false" ht="15" hidden="false" customHeight="false" outlineLevel="0" collapsed="false">
      <c r="A22" s="4" t="s">
        <v>76</v>
      </c>
      <c r="B22" s="13" t="n">
        <v>0.05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</row>
    <row r="23" customFormat="false" ht="15" hidden="false" customHeight="false" outlineLevel="0" collapsed="false">
      <c r="A23" s="4" t="s">
        <v>77</v>
      </c>
      <c r="B23" s="16" t="n">
        <v>5.5</v>
      </c>
      <c r="D23" s="8" t="s">
        <v>78</v>
      </c>
      <c r="E23" s="17" t="n">
        <f aca="false">E17*$B$6+E18*$B$7+E19*$B$8+E20*$B$10+E21*$B$12</f>
        <v>3198.84</v>
      </c>
      <c r="F23" s="17" t="n">
        <f aca="false">F17*$B$6+F18*$B$7+F19*$B$8+F20*$B$10+F21*$B$12</f>
        <v>6310.9026</v>
      </c>
      <c r="G23" s="17" t="n">
        <f aca="false">G17*$B$6+G18*$B$7+G19*$B$8+G20*$B$10+G21*$B$12</f>
        <v>10150.603124</v>
      </c>
      <c r="H23" s="17" t="n">
        <f aca="false">H17*$B$6+H18*$B$7+H19*$B$8+H20*$B$10+H21*$B$12</f>
        <v>15515.78296576</v>
      </c>
      <c r="I23" s="17" t="n">
        <f aca="false">I17*$B$6+I18*$B$7+I19*$B$8+I20*$B$10+I21*$B$12</f>
        <v>23180.9585086904</v>
      </c>
      <c r="J23" s="17" t="n">
        <f aca="false">J17*$B$6+J18*$B$7+J19*$B$8+J20*$B$10+J21*$B$12</f>
        <v>32260.79337953</v>
      </c>
      <c r="K23" s="17" t="n">
        <f aca="false">K17*$B$6+K18*$B$7+K19*$B$8+K20*$B$10+K21*$B$12</f>
        <v>43533.6794577849</v>
      </c>
      <c r="L23" s="17" t="n">
        <f aca="false">L17*$B$6+L18*$B$7+L19*$B$8+L20*$B$10+L21*$B$12</f>
        <v>56936.6750772544</v>
      </c>
      <c r="M23" s="17" t="n">
        <f aca="false">M17*$B$6+M18*$B$7+M19*$B$8+M20*$B$10+M21*$B$12</f>
        <v>71590.3468820263</v>
      </c>
      <c r="N23" s="17" t="n">
        <f aca="false">N17*$B$6+N18*$B$7+N19*$B$8+N20*$B$10+N21*$B$12</f>
        <v>88278.7535725362</v>
      </c>
      <c r="O23" s="17" t="n">
        <f aca="false">O17*$B$6+O18*$B$7+O19*$B$8+O20*$B$10+O21*$B$12</f>
        <v>106125.719457146</v>
      </c>
      <c r="P23" s="17" t="n">
        <f aca="false">P17*$B$6+P18*$B$7+P19*$B$8+P20*$B$10+P21*$B$12</f>
        <v>124281.082179767</v>
      </c>
    </row>
    <row r="24" customFormat="false" ht="15" hidden="false" customHeight="false" outlineLevel="0" collapsed="false">
      <c r="A24" s="4" t="s">
        <v>79</v>
      </c>
      <c r="B24" s="10" t="n">
        <v>4</v>
      </c>
      <c r="D24" s="4" t="s">
        <v>80</v>
      </c>
      <c r="E24" s="18" t="n">
        <f aca="false">E11*$B$5+E13*$B$9+E15*$B$11</f>
        <v>8940</v>
      </c>
      <c r="F24" s="18" t="n">
        <f aca="false">F11*$B$5+F13*$B$9+F15*$B$11</f>
        <v>12013.125</v>
      </c>
      <c r="G24" s="18" t="n">
        <f aca="false">G11*$B$5+G13*$B$9+G15*$B$11</f>
        <v>15086.25</v>
      </c>
      <c r="H24" s="18" t="n">
        <f aca="false">H11*$B$5+H13*$B$9+H15*$B$11</f>
        <v>21232.5</v>
      </c>
      <c r="I24" s="18" t="n">
        <f aca="false">I11*$B$5+I13*$B$9+I15*$B$11</f>
        <v>30451.875</v>
      </c>
      <c r="J24" s="18" t="n">
        <f aca="false">J11*$B$5+J13*$B$9+J15*$B$11</f>
        <v>36598.125</v>
      </c>
      <c r="K24" s="18" t="n">
        <f aca="false">K11*$B$5+K13*$B$9+K15*$B$11</f>
        <v>45817.5</v>
      </c>
      <c r="L24" s="18" t="n">
        <f aca="false">L11*$B$5+L13*$B$9+L15*$B$11</f>
        <v>55036.875</v>
      </c>
      <c r="M24" s="18" t="n">
        <f aca="false">M11*$B$5+M13*$B$9+M15*$B$11</f>
        <v>61183.125</v>
      </c>
      <c r="N24" s="18" t="n">
        <f aca="false">N11*$B$5+N13*$B$9+N15*$B$11</f>
        <v>70402.5</v>
      </c>
      <c r="O24" s="18" t="n">
        <f aca="false">O11*$B$5+O13*$B$9+O15*$B$11</f>
        <v>76548.75</v>
      </c>
      <c r="P24" s="18" t="n">
        <f aca="false">P11*$B$5+P13*$B$9+P15*$B$11</f>
        <v>79621.875</v>
      </c>
      <c r="Q24" s="17" t="n">
        <f aca="false">SUM(E24:P24)</f>
        <v>512932.5</v>
      </c>
    </row>
    <row r="25" customFormat="false" ht="15" hidden="false" customHeight="false" outlineLevel="0" collapsed="false">
      <c r="A25" s="4" t="s">
        <v>81</v>
      </c>
      <c r="B25" s="9" t="n">
        <v>3500</v>
      </c>
      <c r="D25" s="8" t="s">
        <v>82</v>
      </c>
      <c r="E25" s="17" t="n">
        <f aca="false">E23+E24</f>
        <v>12138.84</v>
      </c>
      <c r="F25" s="17" t="n">
        <f aca="false">F23+F24</f>
        <v>18324.0276</v>
      </c>
      <c r="G25" s="17" t="n">
        <f aca="false">G23+G24</f>
        <v>25236.853124</v>
      </c>
      <c r="H25" s="17" t="n">
        <f aca="false">H23+H24</f>
        <v>36748.28296576</v>
      </c>
      <c r="I25" s="17" t="n">
        <f aca="false">I23+I24</f>
        <v>53632.8335086904</v>
      </c>
      <c r="J25" s="17" t="n">
        <f aca="false">J23+J24</f>
        <v>68858.91837953</v>
      </c>
      <c r="K25" s="17" t="n">
        <f aca="false">K23+K24</f>
        <v>89351.1794577849</v>
      </c>
      <c r="L25" s="17" t="n">
        <f aca="false">L23+L24</f>
        <v>111973.550077254</v>
      </c>
      <c r="M25" s="17" t="n">
        <f aca="false">M23+M24</f>
        <v>132773.471882026</v>
      </c>
      <c r="N25" s="17" t="n">
        <f aca="false">N23+N24</f>
        <v>158681.253572536</v>
      </c>
      <c r="O25" s="17" t="n">
        <f aca="false">O23+O24</f>
        <v>182674.469457146</v>
      </c>
      <c r="P25" s="17" t="n">
        <f aca="false">P23+P24</f>
        <v>203902.957179768</v>
      </c>
      <c r="Q25" s="19" t="n">
        <f aca="false">SUM(E25:P25)</f>
        <v>1094296.6372045</v>
      </c>
    </row>
    <row r="26" customFormat="false" ht="15" hidden="false" customHeight="false" outlineLevel="0" collapsed="false">
      <c r="A26" s="4" t="s">
        <v>83</v>
      </c>
      <c r="B26" s="9" t="n">
        <v>2600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</row>
    <row r="27" customFormat="false" ht="15" hidden="false" customHeight="false" outlineLevel="0" collapsed="false">
      <c r="A27" s="4" t="s">
        <v>84</v>
      </c>
      <c r="B27" s="13" t="n">
        <v>0.08</v>
      </c>
      <c r="D27" s="4" t="s">
        <v>85</v>
      </c>
      <c r="E27" s="11" t="n">
        <f aca="false">E11*$B$30+E18*$B$31+E19*$B$32+E20*$B$33+E15*$B$34+E21*$B$35+E17*$B$36</f>
        <v>77.678</v>
      </c>
      <c r="F27" s="11" t="n">
        <f aca="false">F11*$B$30+F18*$B$31+F19*$B$32+F20*$B$33+F15*$B$34+F21*$B$35+F17*$B$36</f>
        <v>122.76887</v>
      </c>
      <c r="G27" s="11" t="n">
        <f aca="false">G11*$B$30+G18*$B$31+G19*$B$32+G20*$B$33+G15*$B$34+G21*$B$35+G17*$B$36</f>
        <v>174.3562163</v>
      </c>
      <c r="H27" s="11" t="n">
        <f aca="false">H11*$B$30+H18*$B$31+H19*$B$32+H20*$B$33+H15*$B$34+H21*$B$35+H17*$B$36</f>
        <v>256.881349127</v>
      </c>
      <c r="I27" s="11" t="n">
        <f aca="false">I11*$B$30+I18*$B$31+I19*$B$32+I20*$B$33+I15*$B$34+I21*$B$35+I17*$B$36</f>
        <v>377.25434522483</v>
      </c>
      <c r="J27" s="11" t="n">
        <f aca="false">J11*$B$30+J18*$B$31+J19*$B$32+J20*$B$33+J15*$B$34+J21*$B$35+J17*$B$36</f>
        <v>492.933589240409</v>
      </c>
      <c r="K27" s="11" t="n">
        <f aca="false">K11*$B$30+K18*$B$31+K19*$B$32+K20*$B$33+K15*$B$34+K21*$B$35+K17*$B$36</f>
        <v>645.512414723234</v>
      </c>
      <c r="L27" s="11" t="n">
        <f aca="false">L11*$B$30+L18*$B$31+L19*$B$32+L20*$B$33+L15*$B$34+L21*$B$35+L17*$B$36</f>
        <v>817.107420327622</v>
      </c>
      <c r="M27" s="11" t="n">
        <f aca="false">M11*$B$30+M18*$B$31+M19*$B$32+M20*$B$33+M15*$B$34+M21*$B$35+M17*$B$36</f>
        <v>982.552728664947</v>
      </c>
      <c r="N27" s="11" t="n">
        <f aca="false">N11*$B$30+N18*$B$31+N19*$B$32+N20*$B$33+N15*$B$34+N21*$B$35+N17*$B$36</f>
        <v>1183.49044846651</v>
      </c>
      <c r="O27" s="11" t="n">
        <f aca="false">O11*$B$30+O18*$B$31+O19*$B$32+O20*$B$33+O15*$B$34+O21*$B$35+O17*$B$36</f>
        <v>1377.45782454915</v>
      </c>
      <c r="P27" s="11" t="n">
        <f aca="false">P11*$B$30+P18*$B$31+P19*$B$32+P20*$B$33+P15*$B$34+P21*$B$35+P17*$B$36</f>
        <v>1556.87151412949</v>
      </c>
      <c r="Q27" s="12" t="n">
        <f aca="false">SUM(E27:P27)</f>
        <v>8064.86472075319</v>
      </c>
    </row>
    <row r="28" customFormat="false" ht="15" hidden="false" customHeight="false" outlineLevel="0" collapsed="false">
      <c r="A28" s="4" t="s">
        <v>86</v>
      </c>
      <c r="B28" s="13" t="n">
        <v>0.5</v>
      </c>
      <c r="D28" s="4" t="s">
        <v>87</v>
      </c>
      <c r="E28" s="11" t="n">
        <f aca="false">E27/140</f>
        <v>0.554842857142857</v>
      </c>
      <c r="F28" s="11" t="n">
        <f aca="false">F27/140</f>
        <v>0.8769205</v>
      </c>
      <c r="G28" s="11" t="n">
        <f aca="false">G27/140</f>
        <v>1.245401545</v>
      </c>
      <c r="H28" s="11" t="n">
        <f aca="false">H27/140</f>
        <v>1.83486677947857</v>
      </c>
      <c r="I28" s="11" t="n">
        <f aca="false">I27/140</f>
        <v>2.69467389446307</v>
      </c>
      <c r="J28" s="11" t="n">
        <f aca="false">J27/140</f>
        <v>3.52095420886006</v>
      </c>
      <c r="K28" s="11" t="n">
        <f aca="false">K27/140</f>
        <v>4.61080296230881</v>
      </c>
      <c r="L28" s="11" t="n">
        <f aca="false">L27/140</f>
        <v>5.83648157376873</v>
      </c>
      <c r="M28" s="11" t="n">
        <f aca="false">M27/140</f>
        <v>7.01823377617819</v>
      </c>
      <c r="N28" s="11" t="n">
        <f aca="false">N27/140</f>
        <v>8.45350320333223</v>
      </c>
      <c r="O28" s="11" t="n">
        <f aca="false">O27/140</f>
        <v>9.83898446106534</v>
      </c>
      <c r="P28" s="11" t="n">
        <f aca="false">P27/140</f>
        <v>11.1205108152106</v>
      </c>
    </row>
    <row r="29" customFormat="false" ht="15" hidden="false" customHeight="false" outlineLevel="0" collapsed="false">
      <c r="A29" s="4" t="s">
        <v>88</v>
      </c>
      <c r="B29" s="20" t="n">
        <v>900</v>
      </c>
      <c r="D29" s="4" t="s">
        <v>89</v>
      </c>
      <c r="E29" s="18" t="n">
        <f aca="false">E27*$B$37</f>
        <v>3573.188</v>
      </c>
      <c r="F29" s="18" t="n">
        <f aca="false">F27*$B$37</f>
        <v>5647.36802</v>
      </c>
      <c r="G29" s="18" t="n">
        <f aca="false">G27*$B$37</f>
        <v>8020.3859498</v>
      </c>
      <c r="H29" s="18" t="n">
        <f aca="false">H27*$B$37</f>
        <v>11816.542059842</v>
      </c>
      <c r="I29" s="18" t="n">
        <f aca="false">I27*$B$37</f>
        <v>17353.6998803422</v>
      </c>
      <c r="J29" s="18" t="n">
        <f aca="false">J27*$B$37</f>
        <v>22674.9451050588</v>
      </c>
      <c r="K29" s="18" t="n">
        <f aca="false">K27*$B$37</f>
        <v>29693.5710772688</v>
      </c>
      <c r="L29" s="18" t="n">
        <f aca="false">L27*$B$37</f>
        <v>37586.9413350706</v>
      </c>
      <c r="M29" s="18" t="n">
        <f aca="false">M27*$B$37</f>
        <v>45197.4255185876</v>
      </c>
      <c r="N29" s="18" t="n">
        <f aca="false">N27*$B$37</f>
        <v>54440.5606294596</v>
      </c>
      <c r="O29" s="18" t="n">
        <f aca="false">O27*$B$37</f>
        <v>63363.0599292608</v>
      </c>
      <c r="P29" s="18" t="n">
        <f aca="false">P27*$B$37</f>
        <v>71616.0896499564</v>
      </c>
      <c r="Q29" s="17" t="n">
        <f aca="false">SUM(E29:P29)</f>
        <v>370983.777154647</v>
      </c>
    </row>
    <row r="30" customFormat="false" ht="15" hidden="false" customHeight="false" outlineLevel="0" collapsed="false">
      <c r="A30" s="4" t="s">
        <v>90</v>
      </c>
      <c r="B30" s="10" t="n">
        <v>18</v>
      </c>
      <c r="D30" s="4" t="s">
        <v>91</v>
      </c>
      <c r="E30" s="18" t="n">
        <f aca="false">E7*$B$25+E6*$B$26+E25*$B$27</f>
        <v>3571.1072</v>
      </c>
      <c r="F30" s="18" t="n">
        <f aca="false">F7*$B$25+F6*$B$26+F25*$B$27</f>
        <v>7565.922208</v>
      </c>
      <c r="G30" s="18" t="n">
        <f aca="false">G7*$B$25+G6*$B$26+G25*$B$27</f>
        <v>10718.94824992</v>
      </c>
      <c r="H30" s="18" t="n">
        <f aca="false">H7*$B$25+H6*$B$26+H25*$B$27</f>
        <v>15139.8626372608</v>
      </c>
      <c r="I30" s="18" t="n">
        <f aca="false">I7*$B$25+I6*$B$26+I25*$B$27</f>
        <v>22590.6266806952</v>
      </c>
      <c r="J30" s="18" t="n">
        <f aca="false">J7*$B$25+J6*$B$26+J25*$B$27</f>
        <v>26408.7134703624</v>
      </c>
      <c r="K30" s="18" t="n">
        <f aca="false">K7*$B$25+K6*$B$26+K25*$B$27</f>
        <v>31548.0943566228</v>
      </c>
      <c r="L30" s="18" t="n">
        <f aca="false">L7*$B$25+L6*$B$26+L25*$B$27</f>
        <v>39457.8840061804</v>
      </c>
      <c r="M30" s="18" t="n">
        <f aca="false">M7*$B$25+M6*$B$26+M25*$B$27</f>
        <v>43721.8777505621</v>
      </c>
      <c r="N30" s="18" t="n">
        <f aca="false">N7*$B$25+N6*$B$26+N25*$B$27</f>
        <v>49294.5002858029</v>
      </c>
      <c r="O30" s="18" t="n">
        <f aca="false">O7*$B$25+O6*$B$26+O25*$B$27</f>
        <v>53813.9575565716</v>
      </c>
      <c r="P30" s="18" t="n">
        <f aca="false">P7*$B$25+P6*$B$26+P25*$B$27</f>
        <v>55512.2365743814</v>
      </c>
      <c r="Q30" s="17" t="n">
        <f aca="false">SUM(E30:P30)</f>
        <v>359343.73097636</v>
      </c>
    </row>
    <row r="31" customFormat="false" ht="15" hidden="false" customHeight="false" outlineLevel="0" collapsed="false">
      <c r="A31" s="4" t="s">
        <v>92</v>
      </c>
      <c r="B31" s="10" t="n">
        <v>5</v>
      </c>
      <c r="D31" s="4" t="s">
        <v>93</v>
      </c>
      <c r="E31" s="18" t="n">
        <f aca="false">E10*$B$28*$B$29</f>
        <v>1800</v>
      </c>
      <c r="F31" s="18" t="n">
        <f aca="false">F10*$B$28*$B$29</f>
        <v>2418.75</v>
      </c>
      <c r="G31" s="18" t="n">
        <f aca="false">G10*$B$28*$B$29</f>
        <v>3037.5</v>
      </c>
      <c r="H31" s="18" t="n">
        <f aca="false">H10*$B$28*$B$29</f>
        <v>4275</v>
      </c>
      <c r="I31" s="18" t="n">
        <f aca="false">I10*$B$28*$B$29</f>
        <v>6131.25</v>
      </c>
      <c r="J31" s="18" t="n">
        <f aca="false">J10*$B$28*$B$29</f>
        <v>7368.75</v>
      </c>
      <c r="K31" s="18" t="n">
        <f aca="false">K10*$B$28*$B$29</f>
        <v>9225</v>
      </c>
      <c r="L31" s="18" t="n">
        <f aca="false">L10*$B$28*$B$29</f>
        <v>11081.25</v>
      </c>
      <c r="M31" s="18" t="n">
        <f aca="false">M10*$B$28*$B$29</f>
        <v>12318.75</v>
      </c>
      <c r="N31" s="18" t="n">
        <f aca="false">N10*$B$28*$B$29</f>
        <v>14175</v>
      </c>
      <c r="O31" s="18" t="n">
        <f aca="false">O10*$B$28*$B$29</f>
        <v>15412.5</v>
      </c>
      <c r="P31" s="18" t="n">
        <f aca="false">P10*$B$28*$B$29</f>
        <v>16031.25</v>
      </c>
      <c r="Q31" s="17" t="n">
        <f aca="false">SUM(E31:P31)</f>
        <v>103275</v>
      </c>
    </row>
    <row r="32" customFormat="false" ht="15" hidden="false" customHeight="false" outlineLevel="0" collapsed="false">
      <c r="A32" s="4" t="s">
        <v>94</v>
      </c>
      <c r="B32" s="10" t="n">
        <v>3</v>
      </c>
      <c r="D32" s="4" t="s">
        <v>95</v>
      </c>
      <c r="E32" s="18" t="n">
        <f aca="false">$B$38+($B$39-$B$38)*0/11</f>
        <v>1800</v>
      </c>
      <c r="F32" s="18" t="n">
        <f aca="false">$B$38+($B$39-$B$38)*1/11</f>
        <v>2045.45454545455</v>
      </c>
      <c r="G32" s="18" t="n">
        <f aca="false">$B$38+($B$39-$B$38)*2/11</f>
        <v>2290.90909090909</v>
      </c>
      <c r="H32" s="18" t="n">
        <f aca="false">$B$38+($B$39-$B$38)*3/11</f>
        <v>2536.36363636364</v>
      </c>
      <c r="I32" s="18" t="n">
        <f aca="false">$B$38+($B$39-$B$38)*4/11</f>
        <v>2781.81818181818</v>
      </c>
      <c r="J32" s="18" t="n">
        <f aca="false">$B$38+($B$39-$B$38)*5/11</f>
        <v>3027.27272727273</v>
      </c>
      <c r="K32" s="18" t="n">
        <f aca="false">$B$38+($B$39-$B$38)*6/11</f>
        <v>3272.72727272727</v>
      </c>
      <c r="L32" s="18" t="n">
        <f aca="false">$B$38+($B$39-$B$38)*7/11</f>
        <v>3518.18181818182</v>
      </c>
      <c r="M32" s="18" t="n">
        <f aca="false">$B$38+($B$39-$B$38)*8/11</f>
        <v>3763.63636363636</v>
      </c>
      <c r="N32" s="18" t="n">
        <f aca="false">$B$38+($B$39-$B$38)*9/11</f>
        <v>4009.09090909091</v>
      </c>
      <c r="O32" s="18" t="n">
        <f aca="false">$B$38+($B$39-$B$38)*10/11</f>
        <v>4254.54545454545</v>
      </c>
      <c r="P32" s="18" t="n">
        <f aca="false">$B$38+($B$39-$B$38)*11/11</f>
        <v>4500</v>
      </c>
      <c r="Q32" s="17" t="n">
        <f aca="false">SUM(E32:P32)</f>
        <v>37800</v>
      </c>
    </row>
    <row r="33" customFormat="false" ht="15" hidden="false" customHeight="false" outlineLevel="0" collapsed="false">
      <c r="A33" s="4" t="s">
        <v>96</v>
      </c>
      <c r="B33" s="10" t="n">
        <v>12</v>
      </c>
      <c r="D33" s="4" t="s">
        <v>97</v>
      </c>
      <c r="E33" s="18" t="n">
        <f aca="false">$B$40</f>
        <v>5000</v>
      </c>
      <c r="F33" s="18" t="n">
        <f aca="false">$B$40</f>
        <v>5000</v>
      </c>
      <c r="G33" s="18" t="n">
        <f aca="false">$B$40</f>
        <v>5000</v>
      </c>
      <c r="H33" s="18" t="n">
        <f aca="false">$B$40</f>
        <v>5000</v>
      </c>
      <c r="I33" s="18" t="n">
        <f aca="false">$B$40</f>
        <v>5000</v>
      </c>
      <c r="J33" s="18" t="n">
        <f aca="false">$B$40</f>
        <v>5000</v>
      </c>
      <c r="K33" s="18" t="n">
        <f aca="false">$B$40</f>
        <v>5000</v>
      </c>
      <c r="L33" s="18" t="n">
        <f aca="false">$B$40</f>
        <v>5000</v>
      </c>
      <c r="M33" s="18" t="n">
        <f aca="false">$B$40</f>
        <v>5000</v>
      </c>
      <c r="N33" s="18" t="n">
        <f aca="false">$B$40</f>
        <v>5000</v>
      </c>
      <c r="O33" s="18" t="n">
        <f aca="false">$B$40</f>
        <v>5000</v>
      </c>
      <c r="P33" s="18" t="n">
        <f aca="false">$B$40</f>
        <v>5000</v>
      </c>
      <c r="Q33" s="17" t="n">
        <f aca="false">SUM(E33:P33)</f>
        <v>60000</v>
      </c>
    </row>
    <row r="34" customFormat="false" ht="15" hidden="false" customHeight="false" outlineLevel="0" collapsed="false">
      <c r="A34" s="4" t="s">
        <v>98</v>
      </c>
      <c r="B34" s="10" t="n">
        <v>10</v>
      </c>
      <c r="D34" s="8" t="s">
        <v>99</v>
      </c>
      <c r="E34" s="17" t="n">
        <f aca="false">SUM(E29:E33)</f>
        <v>15744.2952</v>
      </c>
      <c r="F34" s="17" t="n">
        <f aca="false">SUM(F29:F33)</f>
        <v>22677.4947734545</v>
      </c>
      <c r="G34" s="17" t="n">
        <f aca="false">SUM(G29:G33)</f>
        <v>29067.7432906291</v>
      </c>
      <c r="H34" s="17" t="n">
        <f aca="false">SUM(H29:H33)</f>
        <v>38767.7683334664</v>
      </c>
      <c r="I34" s="17" t="n">
        <f aca="false">SUM(I29:I33)</f>
        <v>53857.3947428556</v>
      </c>
      <c r="J34" s="17" t="n">
        <f aca="false">SUM(J29:J33)</f>
        <v>64479.6813026939</v>
      </c>
      <c r="K34" s="17" t="n">
        <f aca="false">SUM(K29:K33)</f>
        <v>78739.3927066188</v>
      </c>
      <c r="L34" s="17" t="n">
        <f aca="false">SUM(L29:L33)</f>
        <v>96644.2571594328</v>
      </c>
      <c r="M34" s="17" t="n">
        <f aca="false">SUM(M29:M33)</f>
        <v>110001.689632786</v>
      </c>
      <c r="N34" s="17" t="n">
        <f aca="false">SUM(N29:N33)</f>
        <v>126919.151824353</v>
      </c>
      <c r="O34" s="17" t="n">
        <f aca="false">SUM(O29:O33)</f>
        <v>141844.062940378</v>
      </c>
      <c r="P34" s="17" t="n">
        <f aca="false">SUM(P29:P33)</f>
        <v>152659.576224338</v>
      </c>
      <c r="Q34" s="17" t="n">
        <f aca="false">SUM(E34:P34)</f>
        <v>931402.508131006</v>
      </c>
    </row>
    <row r="35" customFormat="false" ht="15" hidden="false" customHeight="false" outlineLevel="0" collapsed="false">
      <c r="A35" s="4" t="s">
        <v>100</v>
      </c>
      <c r="B35" s="10" t="n">
        <v>6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customFormat="false" ht="15" hidden="false" customHeight="false" outlineLevel="0" collapsed="false">
      <c r="A36" s="4" t="s">
        <v>101</v>
      </c>
      <c r="B36" s="10" t="n">
        <v>0.3</v>
      </c>
      <c r="D36" s="8" t="s">
        <v>102</v>
      </c>
      <c r="E36" s="17" t="n">
        <f aca="false">E25-E34</f>
        <v>-3605.4552</v>
      </c>
      <c r="F36" s="17" t="n">
        <f aca="false">F25-F34</f>
        <v>-4353.46717345454</v>
      </c>
      <c r="G36" s="17" t="n">
        <f aca="false">G25-G34</f>
        <v>-3830.89016662909</v>
      </c>
      <c r="H36" s="17" t="n">
        <f aca="false">H25-H34</f>
        <v>-2019.48536770644</v>
      </c>
      <c r="I36" s="17" t="n">
        <f aca="false">I25-I34</f>
        <v>-224.561234165194</v>
      </c>
      <c r="J36" s="17" t="n">
        <f aca="false">J25-J34</f>
        <v>4379.23707683604</v>
      </c>
      <c r="K36" s="17" t="n">
        <f aca="false">K25-K34</f>
        <v>10611.786751166</v>
      </c>
      <c r="L36" s="17" t="n">
        <f aca="false">L25-L34</f>
        <v>15329.2929178217</v>
      </c>
      <c r="M36" s="17" t="n">
        <f aca="false">M25-M34</f>
        <v>22771.7822492403</v>
      </c>
      <c r="N36" s="17" t="n">
        <f aca="false">N25-N34</f>
        <v>31762.1017481828</v>
      </c>
      <c r="O36" s="17" t="n">
        <f aca="false">O25-O34</f>
        <v>40830.4065167677</v>
      </c>
      <c r="P36" s="17" t="n">
        <f aca="false">P25-P34</f>
        <v>51243.3809554297</v>
      </c>
      <c r="Q36" s="19" t="n">
        <f aca="false">SUM(E36:P36)</f>
        <v>162894.129073489</v>
      </c>
    </row>
    <row r="37" customFormat="false" ht="15" hidden="false" customHeight="false" outlineLevel="0" collapsed="false">
      <c r="A37" s="4" t="s">
        <v>103</v>
      </c>
      <c r="B37" s="9" t="n">
        <v>46</v>
      </c>
      <c r="D37" s="8" t="s">
        <v>104</v>
      </c>
      <c r="E37" s="17" t="n">
        <f aca="false">E36</f>
        <v>-3605.4552</v>
      </c>
      <c r="F37" s="17" t="n">
        <f aca="false">E37+F36</f>
        <v>-7958.92237345455</v>
      </c>
      <c r="G37" s="17" t="n">
        <f aca="false">F37+G36</f>
        <v>-11789.8125400836</v>
      </c>
      <c r="H37" s="17" t="n">
        <f aca="false">G37+H36</f>
        <v>-13809.2979077901</v>
      </c>
      <c r="I37" s="17" t="n">
        <f aca="false">H37+I36</f>
        <v>-14033.8591419553</v>
      </c>
      <c r="J37" s="17" t="n">
        <f aca="false">I37+J36</f>
        <v>-9654.62206511923</v>
      </c>
      <c r="K37" s="17" t="n">
        <f aca="false">J37+K36</f>
        <v>957.164686046817</v>
      </c>
      <c r="L37" s="17" t="n">
        <f aca="false">K37+L36</f>
        <v>16286.4576038685</v>
      </c>
      <c r="M37" s="17" t="n">
        <f aca="false">L37+M36</f>
        <v>39058.2398531088</v>
      </c>
      <c r="N37" s="17" t="n">
        <f aca="false">M37+N36</f>
        <v>70820.3416012916</v>
      </c>
      <c r="O37" s="17" t="n">
        <f aca="false">N37+O36</f>
        <v>111650.748118059</v>
      </c>
      <c r="P37" s="17" t="n">
        <f aca="false">O37+P36</f>
        <v>162894.129073489</v>
      </c>
    </row>
    <row r="38" customFormat="false" ht="15" hidden="false" customHeight="false" outlineLevel="0" collapsed="false">
      <c r="A38" s="4" t="s">
        <v>105</v>
      </c>
      <c r="B38" s="9" t="n">
        <v>1800</v>
      </c>
    </row>
    <row r="39" customFormat="false" ht="15" hidden="false" customHeight="false" outlineLevel="0" collapsed="false">
      <c r="A39" s="4" t="s">
        <v>106</v>
      </c>
      <c r="B39" s="9" t="n">
        <v>4500</v>
      </c>
    </row>
    <row r="40" customFormat="false" ht="15" hidden="false" customHeight="false" outlineLevel="0" collapsed="false">
      <c r="A40" s="4" t="s">
        <v>107</v>
      </c>
      <c r="B40" s="9" t="n">
        <v>5000</v>
      </c>
    </row>
    <row r="41" customFormat="false" ht="15" hidden="false" customHeight="false" outlineLevel="0" collapsed="false">
      <c r="A41" s="0" t="s">
        <v>108</v>
      </c>
      <c r="B41" s="13" t="n">
        <v>0.25</v>
      </c>
    </row>
    <row r="42" customFormat="false" ht="15" hidden="false" customHeight="false" outlineLevel="0" collapsed="false">
      <c r="A42" s="0" t="s">
        <v>109</v>
      </c>
      <c r="B42" s="13" t="n">
        <v>0.5</v>
      </c>
    </row>
    <row r="43" customFormat="false" ht="15" hidden="false" customHeight="false" outlineLevel="0" collapsed="false">
      <c r="A43" s="0" t="s">
        <v>110</v>
      </c>
      <c r="B43" s="13" t="n">
        <v>0.75</v>
      </c>
    </row>
    <row r="45" customFormat="false" ht="15" hidden="false" customHeight="false" outlineLevel="0" collapsed="false">
      <c r="A45" s="8" t="s">
        <v>111</v>
      </c>
    </row>
    <row r="46" customFormat="false" ht="15" hidden="false" customHeight="false" outlineLevel="0" collapsed="false">
      <c r="A46" s="0" t="s">
        <v>112</v>
      </c>
      <c r="B46" s="21" t="n">
        <v>4</v>
      </c>
    </row>
    <row r="47" customFormat="false" ht="15" hidden="false" customHeight="false" outlineLevel="0" collapsed="false">
      <c r="A47" s="0" t="s">
        <v>113</v>
      </c>
      <c r="B47" s="21" t="n">
        <v>1</v>
      </c>
    </row>
    <row r="48" customFormat="false" ht="15" hidden="false" customHeight="false" outlineLevel="0" collapsed="false">
      <c r="A48" s="0" t="s">
        <v>114</v>
      </c>
      <c r="B48" s="21" t="n">
        <v>0</v>
      </c>
    </row>
    <row r="49" customFormat="false" ht="15" hidden="false" customHeight="false" outlineLevel="0" collapsed="false">
      <c r="A49" s="0" t="s">
        <v>115</v>
      </c>
      <c r="B49" s="21" t="n">
        <v>0</v>
      </c>
    </row>
    <row r="50" customFormat="false" ht="15" hidden="false" customHeight="false" outlineLevel="0" collapsed="false">
      <c r="A50" s="0" t="s">
        <v>116</v>
      </c>
      <c r="B50" s="2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" hidden="false" customHeight="false" outlineLevel="0" collapsed="false">
      <c r="A4" s="3" t="s">
        <v>119</v>
      </c>
      <c r="B4" s="3" t="s">
        <v>29</v>
      </c>
      <c r="C4" s="3" t="s">
        <v>120</v>
      </c>
    </row>
    <row r="5" customFormat="false" ht="15" hidden="false" customHeight="false" outlineLevel="0" collapsed="false">
      <c r="A5" s="4" t="s">
        <v>121</v>
      </c>
      <c r="B5" s="9" t="n">
        <v>2200</v>
      </c>
      <c r="C5" s="4" t="s">
        <v>122</v>
      </c>
    </row>
    <row r="6" customFormat="false" ht="15" hidden="false" customHeight="false" outlineLevel="0" collapsed="false">
      <c r="A6" s="4" t="s">
        <v>123</v>
      </c>
      <c r="B6" s="9" t="n">
        <v>69</v>
      </c>
      <c r="C6" s="4" t="s">
        <v>124</v>
      </c>
    </row>
    <row r="7" customFormat="false" ht="15" hidden="false" customHeight="false" outlineLevel="0" collapsed="false">
      <c r="A7" s="4" t="s">
        <v>125</v>
      </c>
      <c r="B7" s="20" t="n">
        <v>520</v>
      </c>
      <c r="C7" s="4" t="s">
        <v>126</v>
      </c>
    </row>
    <row r="8" customFormat="false" ht="15" hidden="false" customHeight="false" outlineLevel="0" collapsed="false">
      <c r="A8" s="4" t="s">
        <v>127</v>
      </c>
      <c r="B8" s="9" t="n">
        <v>290</v>
      </c>
      <c r="C8" s="4" t="s">
        <v>128</v>
      </c>
    </row>
    <row r="9" customFormat="false" ht="15" hidden="false" customHeight="false" outlineLevel="0" collapsed="false">
      <c r="A9" s="4" t="s">
        <v>129</v>
      </c>
      <c r="B9" s="9" t="n">
        <v>390</v>
      </c>
      <c r="C9" s="4" t="s">
        <v>128</v>
      </c>
    </row>
    <row r="10" customFormat="false" ht="15" hidden="false" customHeight="false" outlineLevel="0" collapsed="false">
      <c r="A10" s="4" t="s">
        <v>130</v>
      </c>
      <c r="B10" s="9" t="n">
        <v>1190</v>
      </c>
      <c r="C10" s="4" t="s">
        <v>131</v>
      </c>
    </row>
    <row r="11" customFormat="false" ht="15" hidden="false" customHeight="false" outlineLevel="0" collapsed="false">
      <c r="A11" s="4" t="s">
        <v>132</v>
      </c>
      <c r="B11" s="13" t="n">
        <v>0.01</v>
      </c>
      <c r="C11" s="4" t="s">
        <v>133</v>
      </c>
    </row>
    <row r="12" customFormat="false" ht="15" hidden="false" customHeight="false" outlineLevel="0" collapsed="false">
      <c r="A12" s="4" t="s">
        <v>134</v>
      </c>
      <c r="B12" s="14" t="n">
        <v>0.03</v>
      </c>
      <c r="C12" s="4" t="s">
        <v>135</v>
      </c>
    </row>
    <row r="13" customFormat="false" ht="15" hidden="false" customHeight="false" outlineLevel="0" collapsed="false">
      <c r="A13" s="4" t="s">
        <v>136</v>
      </c>
      <c r="B13" s="13" t="n">
        <v>0.04</v>
      </c>
      <c r="C13" s="4" t="s">
        <v>137</v>
      </c>
    </row>
    <row r="14" customFormat="false" ht="15" hidden="false" customHeight="false" outlineLevel="0" collapsed="false">
      <c r="A14" s="4" t="s">
        <v>138</v>
      </c>
      <c r="B14" s="13" t="n">
        <v>0.02</v>
      </c>
      <c r="C14" s="4" t="s">
        <v>139</v>
      </c>
    </row>
    <row r="15" customFormat="false" ht="15" hidden="false" customHeight="false" outlineLevel="0" collapsed="false">
      <c r="A15" s="4" t="s">
        <v>140</v>
      </c>
      <c r="B15" s="9" t="n">
        <v>205</v>
      </c>
      <c r="C15" s="4" t="s">
        <v>141</v>
      </c>
    </row>
    <row r="16" customFormat="false" ht="15" hidden="false" customHeight="false" outlineLevel="0" collapsed="false">
      <c r="A16" s="4" t="s">
        <v>142</v>
      </c>
      <c r="B16" s="9" t="n">
        <v>150</v>
      </c>
      <c r="C16" s="4" t="s">
        <v>143</v>
      </c>
    </row>
    <row r="17" customFormat="false" ht="15" hidden="false" customHeight="false" outlineLevel="0" collapsed="false">
      <c r="A17" s="4" t="s">
        <v>144</v>
      </c>
      <c r="B17" s="20" t="n">
        <v>45</v>
      </c>
      <c r="C17" s="4" t="s">
        <v>145</v>
      </c>
    </row>
    <row r="18" customFormat="false" ht="15" hidden="false" customHeight="false" outlineLevel="0" collapsed="false">
      <c r="A18" s="4" t="s">
        <v>146</v>
      </c>
      <c r="B18" s="10" t="n">
        <v>8</v>
      </c>
      <c r="C18" s="4"/>
    </row>
    <row r="19" customFormat="false" ht="15" hidden="false" customHeight="false" outlineLevel="0" collapsed="false">
      <c r="A19" s="4" t="s">
        <v>147</v>
      </c>
      <c r="B19" s="10" t="n">
        <v>2</v>
      </c>
      <c r="C19" s="4"/>
    </row>
    <row r="20" customFormat="false" ht="15" hidden="false" customHeight="false" outlineLevel="0" collapsed="false">
      <c r="A20" s="4" t="s">
        <v>148</v>
      </c>
      <c r="B20" s="10" t="n">
        <v>5</v>
      </c>
      <c r="C20" s="4"/>
    </row>
    <row r="21" customFormat="false" ht="15" hidden="false" customHeight="false" outlineLevel="0" collapsed="false">
      <c r="A21" s="4" t="s">
        <v>149</v>
      </c>
      <c r="B21" s="10" t="n">
        <v>20</v>
      </c>
      <c r="C21" s="4" t="s">
        <v>150</v>
      </c>
    </row>
    <row r="22" customFormat="false" ht="15" hidden="false" customHeight="false" outlineLevel="0" collapsed="false">
      <c r="A22" s="4" t="s">
        <v>151</v>
      </c>
      <c r="B22" s="10" t="n">
        <v>4</v>
      </c>
      <c r="C22" s="4"/>
    </row>
    <row r="23" customFormat="false" ht="15" hidden="false" customHeight="false" outlineLevel="0" collapsed="false">
      <c r="A23" s="4" t="s">
        <v>152</v>
      </c>
      <c r="B23" s="10" t="n">
        <v>2</v>
      </c>
      <c r="C23" s="4"/>
    </row>
    <row r="24" customFormat="false" ht="15" hidden="false" customHeight="false" outlineLevel="0" collapsed="false">
      <c r="A24" s="4" t="s">
        <v>153</v>
      </c>
      <c r="B24" s="10" t="n">
        <v>8</v>
      </c>
      <c r="C24" s="4"/>
    </row>
    <row r="25" customFormat="false" ht="15" hidden="false" customHeight="false" outlineLevel="0" collapsed="false">
      <c r="A25" s="4" t="s">
        <v>154</v>
      </c>
      <c r="B25" s="10" t="n">
        <v>0.25</v>
      </c>
      <c r="C25" s="4" t="s">
        <v>155</v>
      </c>
    </row>
    <row r="28" customFormat="false" ht="15" hidden="false" customHeight="false" outlineLevel="0" collapsed="false">
      <c r="A28" s="3" t="s">
        <v>156</v>
      </c>
      <c r="B28" s="3" t="s">
        <v>3</v>
      </c>
      <c r="C28" s="3" t="s">
        <v>4</v>
      </c>
      <c r="D28" s="3" t="s">
        <v>5</v>
      </c>
      <c r="E28" s="3" t="s">
        <v>157</v>
      </c>
    </row>
    <row r="29" customFormat="false" ht="15" hidden="false" customHeight="false" outlineLevel="0" collapsed="false">
      <c r="A29" s="4" t="s">
        <v>158</v>
      </c>
      <c r="B29" s="16" t="n">
        <v>0.5</v>
      </c>
      <c r="C29" s="16" t="n">
        <v>0.8</v>
      </c>
      <c r="D29" s="16" t="n">
        <v>1</v>
      </c>
      <c r="E29" s="4" t="s">
        <v>159</v>
      </c>
    </row>
    <row r="30" customFormat="false" ht="15" hidden="false" customHeight="false" outlineLevel="0" collapsed="false">
      <c r="A30" s="4" t="s">
        <v>160</v>
      </c>
      <c r="B30" s="16" t="n">
        <v>1</v>
      </c>
      <c r="C30" s="16" t="n">
        <v>1.3</v>
      </c>
      <c r="D30" s="16" t="n">
        <v>1.5</v>
      </c>
    </row>
    <row r="31" customFormat="false" ht="15" hidden="false" customHeight="false" outlineLevel="0" collapsed="false">
      <c r="A31" s="4" t="s">
        <v>161</v>
      </c>
      <c r="B31" s="16" t="n">
        <v>1.2</v>
      </c>
      <c r="C31" s="16" t="n">
        <v>1.6</v>
      </c>
      <c r="D31" s="16" t="n">
        <v>2</v>
      </c>
    </row>
    <row r="32" customFormat="false" ht="15" hidden="false" customHeight="false" outlineLevel="0" collapsed="false">
      <c r="A32" s="4" t="s">
        <v>162</v>
      </c>
      <c r="B32" s="14" t="n">
        <v>0.3</v>
      </c>
      <c r="C32" s="14" t="n">
        <v>0.35</v>
      </c>
      <c r="D32" s="14" t="n">
        <v>0.4</v>
      </c>
    </row>
    <row r="33" customFormat="false" ht="15" hidden="false" customHeight="false" outlineLevel="0" collapsed="false">
      <c r="A33" s="4" t="s">
        <v>163</v>
      </c>
      <c r="B33" s="14" t="n">
        <v>0.15</v>
      </c>
      <c r="C33" s="14" t="n">
        <v>0.2</v>
      </c>
      <c r="D33" s="14" t="n">
        <v>0.25</v>
      </c>
    </row>
    <row r="34" customFormat="false" ht="15" hidden="false" customHeight="false" outlineLevel="0" collapsed="false">
      <c r="A34" s="4" t="s">
        <v>164</v>
      </c>
      <c r="B34" s="16" t="n">
        <v>0</v>
      </c>
      <c r="C34" s="16" t="n">
        <v>0</v>
      </c>
      <c r="D34" s="16" t="n">
        <v>0.1</v>
      </c>
      <c r="E34" s="4" t="s">
        <v>165</v>
      </c>
    </row>
    <row r="35" customFormat="false" ht="15" hidden="false" customHeight="false" outlineLevel="0" collapsed="false">
      <c r="A35" s="4" t="s">
        <v>166</v>
      </c>
      <c r="B35" s="16" t="n">
        <v>0.1</v>
      </c>
      <c r="C35" s="16" t="n">
        <v>0.15</v>
      </c>
      <c r="D35" s="16" t="n">
        <v>0.25</v>
      </c>
    </row>
    <row r="36" customFormat="false" ht="15" hidden="false" customHeight="false" outlineLevel="0" collapsed="false">
      <c r="A36" s="4" t="s">
        <v>167</v>
      </c>
      <c r="B36" s="16" t="n">
        <v>0.15</v>
      </c>
      <c r="C36" s="16" t="n">
        <v>0.25</v>
      </c>
      <c r="D36" s="16" t="n">
        <v>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3" customFormat="false" ht="15" hidden="false" customHeight="false" outlineLevel="0" collapsed="false">
      <c r="A3" s="3" t="s">
        <v>170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22" t="s">
        <v>171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customFormat="false" ht="15" hidden="false" customHeight="false" outlineLevel="0" collapsed="false">
      <c r="A6" s="4" t="s">
        <v>172</v>
      </c>
      <c r="B6" s="7" t="n">
        <f aca="false">IF(B$3&lt;=6,Annahmen!$B$29,IF(B$3&lt;=12,Annahmen!$B$30,Annahmen!$B$31))</f>
        <v>0.5</v>
      </c>
      <c r="C6" s="7" t="n">
        <f aca="false">IF(C$3&lt;=6,Annahmen!$B$29,IF(C$3&lt;=12,Annahmen!$B$30,Annahmen!$B$31))</f>
        <v>0.5</v>
      </c>
      <c r="D6" s="7" t="n">
        <f aca="false">IF(D$3&lt;=6,Annahmen!$B$29,IF(D$3&lt;=12,Annahmen!$B$30,Annahmen!$B$31))</f>
        <v>0.5</v>
      </c>
      <c r="E6" s="7" t="n">
        <f aca="false">IF(E$3&lt;=6,Annahmen!$B$29,IF(E$3&lt;=12,Annahmen!$B$30,Annahmen!$B$31))</f>
        <v>0.5</v>
      </c>
      <c r="F6" s="7" t="n">
        <f aca="false">IF(F$3&lt;=6,Annahmen!$B$29,IF(F$3&lt;=12,Annahmen!$B$30,Annahmen!$B$31))</f>
        <v>0.5</v>
      </c>
      <c r="G6" s="7" t="n">
        <f aca="false">IF(G$3&lt;=6,Annahmen!$B$29,IF(G$3&lt;=12,Annahmen!$B$30,Annahmen!$B$31))</f>
        <v>0.5</v>
      </c>
      <c r="H6" s="7" t="n">
        <f aca="false">IF(H$3&lt;=6,Annahmen!$B$29,IF(H$3&lt;=12,Annahmen!$B$30,Annahmen!$B$31))</f>
        <v>1</v>
      </c>
      <c r="I6" s="7" t="n">
        <f aca="false">IF(I$3&lt;=6,Annahmen!$B$29,IF(I$3&lt;=12,Annahmen!$B$30,Annahmen!$B$31))</f>
        <v>1</v>
      </c>
      <c r="J6" s="7" t="n">
        <f aca="false">IF(J$3&lt;=6,Annahmen!$B$29,IF(J$3&lt;=12,Annahmen!$B$30,Annahmen!$B$31))</f>
        <v>1</v>
      </c>
      <c r="K6" s="7" t="n">
        <f aca="false">IF(K$3&lt;=6,Annahmen!$B$29,IF(K$3&lt;=12,Annahmen!$B$30,Annahmen!$B$31))</f>
        <v>1</v>
      </c>
      <c r="L6" s="7" t="n">
        <f aca="false">IF(L$3&lt;=6,Annahmen!$B$29,IF(L$3&lt;=12,Annahmen!$B$30,Annahmen!$B$31))</f>
        <v>1</v>
      </c>
      <c r="M6" s="7" t="n">
        <f aca="false">IF(M$3&lt;=6,Annahmen!$B$29,IF(M$3&lt;=12,Annahmen!$B$30,Annahmen!$B$31))</f>
        <v>1</v>
      </c>
      <c r="N6" s="7" t="n">
        <f aca="false">IF(N$3&lt;=6,Annahmen!$B$29,IF(N$3&lt;=12,Annahmen!$B$30,Annahmen!$B$31))</f>
        <v>1.2</v>
      </c>
      <c r="O6" s="7" t="n">
        <f aca="false">IF(O$3&lt;=6,Annahmen!$B$29,IF(O$3&lt;=12,Annahmen!$B$30,Annahmen!$B$31))</f>
        <v>1.2</v>
      </c>
      <c r="P6" s="7" t="n">
        <f aca="false">IF(P$3&lt;=6,Annahmen!$B$29,IF(P$3&lt;=12,Annahmen!$B$30,Annahmen!$B$31))</f>
        <v>1.2</v>
      </c>
      <c r="Q6" s="7" t="n">
        <f aca="false">IF(Q$3&lt;=6,Annahmen!$B$29,IF(Q$3&lt;=12,Annahmen!$B$30,Annahmen!$B$31))</f>
        <v>1.2</v>
      </c>
      <c r="R6" s="7" t="n">
        <f aca="false">IF(R$3&lt;=6,Annahmen!$B$29,IF(R$3&lt;=12,Annahmen!$B$30,Annahmen!$B$31))</f>
        <v>1.2</v>
      </c>
      <c r="S6" s="7" t="n">
        <f aca="false">IF(S$3&lt;=6,Annahmen!$B$29,IF(S$3&lt;=12,Annahmen!$B$30,Annahmen!$B$31))</f>
        <v>1.2</v>
      </c>
      <c r="T6" s="7" t="n">
        <f aca="false">IF(T$3&lt;=6,Annahmen!$B$29,IF(T$3&lt;=12,Annahmen!$B$30,Annahmen!$B$31))</f>
        <v>1.2</v>
      </c>
      <c r="U6" s="7" t="n">
        <f aca="false">IF(U$3&lt;=6,Annahmen!$B$29,IF(U$3&lt;=12,Annahmen!$B$30,Annahmen!$B$31))</f>
        <v>1.2</v>
      </c>
      <c r="V6" s="7" t="n">
        <f aca="false">IF(V$3&lt;=6,Annahmen!$B$29,IF(V$3&lt;=12,Annahmen!$B$30,Annahmen!$B$31))</f>
        <v>1.2</v>
      </c>
      <c r="W6" s="7" t="n">
        <f aca="false">IF(W$3&lt;=6,Annahmen!$B$29,IF(W$3&lt;=12,Annahmen!$B$30,Annahmen!$B$31))</f>
        <v>1.2</v>
      </c>
      <c r="X6" s="7" t="n">
        <f aca="false">IF(X$3&lt;=6,Annahmen!$B$29,IF(X$3&lt;=12,Annahmen!$B$30,Annahmen!$B$31))</f>
        <v>1.2</v>
      </c>
      <c r="Y6" s="7" t="n">
        <f aca="false">IF(Y$3&lt;=6,Annahmen!$B$29,IF(Y$3&lt;=12,Annahmen!$B$30,Annahmen!$B$31))</f>
        <v>1.2</v>
      </c>
    </row>
    <row r="7" customFormat="false" ht="15" hidden="false" customHeight="false" outlineLevel="0" collapsed="false">
      <c r="A7" s="4" t="s">
        <v>173</v>
      </c>
      <c r="B7" s="11" t="n">
        <f aca="false">B6*Annahmen!$B$32</f>
        <v>0.15</v>
      </c>
      <c r="C7" s="11" t="n">
        <f aca="false">C6*Annahmen!$B$32</f>
        <v>0.15</v>
      </c>
      <c r="D7" s="11" t="n">
        <f aca="false">D6*Annahmen!$B$32</f>
        <v>0.15</v>
      </c>
      <c r="E7" s="11" t="n">
        <f aca="false">E6*Annahmen!$B$32</f>
        <v>0.15</v>
      </c>
      <c r="F7" s="11" t="n">
        <f aca="false">F6*Annahmen!$B$32</f>
        <v>0.15</v>
      </c>
      <c r="G7" s="11" t="n">
        <f aca="false">G6*Annahmen!$B$32</f>
        <v>0.15</v>
      </c>
      <c r="H7" s="11" t="n">
        <f aca="false">H6*Annahmen!$B$32</f>
        <v>0.3</v>
      </c>
      <c r="I7" s="11" t="n">
        <f aca="false">I6*Annahmen!$B$32</f>
        <v>0.3</v>
      </c>
      <c r="J7" s="11" t="n">
        <f aca="false">J6*Annahmen!$B$32</f>
        <v>0.3</v>
      </c>
      <c r="K7" s="11" t="n">
        <f aca="false">K6*Annahmen!$B$32</f>
        <v>0.3</v>
      </c>
      <c r="L7" s="11" t="n">
        <f aca="false">L6*Annahmen!$B$32</f>
        <v>0.3</v>
      </c>
      <c r="M7" s="11" t="n">
        <f aca="false">M6*Annahmen!$B$32</f>
        <v>0.3</v>
      </c>
      <c r="N7" s="11" t="n">
        <f aca="false">N6*Annahmen!$B$32</f>
        <v>0.36</v>
      </c>
      <c r="O7" s="11" t="n">
        <f aca="false">O6*Annahmen!$B$32</f>
        <v>0.36</v>
      </c>
      <c r="P7" s="11" t="n">
        <f aca="false">P6*Annahmen!$B$32</f>
        <v>0.36</v>
      </c>
      <c r="Q7" s="11" t="n">
        <f aca="false">Q6*Annahmen!$B$32</f>
        <v>0.36</v>
      </c>
      <c r="R7" s="11" t="n">
        <f aca="false">R6*Annahmen!$B$32</f>
        <v>0.36</v>
      </c>
      <c r="S7" s="11" t="n">
        <f aca="false">S6*Annahmen!$B$32</f>
        <v>0.36</v>
      </c>
      <c r="T7" s="11" t="n">
        <f aca="false">T6*Annahmen!$B$32</f>
        <v>0.36</v>
      </c>
      <c r="U7" s="11" t="n">
        <f aca="false">U6*Annahmen!$B$32</f>
        <v>0.36</v>
      </c>
      <c r="V7" s="11" t="n">
        <f aca="false">V6*Annahmen!$B$32</f>
        <v>0.36</v>
      </c>
      <c r="W7" s="11" t="n">
        <f aca="false">W6*Annahmen!$B$32</f>
        <v>0.36</v>
      </c>
      <c r="X7" s="11" t="n">
        <f aca="false">X6*Annahmen!$B$32</f>
        <v>0.36</v>
      </c>
      <c r="Y7" s="11" t="n">
        <f aca="false">Y6*Annahmen!$B$32</f>
        <v>0.36</v>
      </c>
    </row>
    <row r="8" customFormat="false" ht="15" hidden="false" customHeight="false" outlineLevel="0" collapsed="false">
      <c r="A8" s="4" t="s">
        <v>174</v>
      </c>
      <c r="B8" s="11" t="n">
        <f aca="false">B6*Annahmen!$B$33</f>
        <v>0.075</v>
      </c>
      <c r="C8" s="11" t="n">
        <f aca="false">C6*Annahmen!$B$33</f>
        <v>0.075</v>
      </c>
      <c r="D8" s="11" t="n">
        <f aca="false">D6*Annahmen!$B$33</f>
        <v>0.075</v>
      </c>
      <c r="E8" s="11" t="n">
        <f aca="false">E6*Annahmen!$B$33</f>
        <v>0.075</v>
      </c>
      <c r="F8" s="11" t="n">
        <f aca="false">F6*Annahmen!$B$33</f>
        <v>0.075</v>
      </c>
      <c r="G8" s="11" t="n">
        <f aca="false">G6*Annahmen!$B$33</f>
        <v>0.075</v>
      </c>
      <c r="H8" s="11" t="n">
        <f aca="false">H6*Annahmen!$B$33</f>
        <v>0.15</v>
      </c>
      <c r="I8" s="11" t="n">
        <f aca="false">I6*Annahmen!$B$33</f>
        <v>0.15</v>
      </c>
      <c r="J8" s="11" t="n">
        <f aca="false">J6*Annahmen!$B$33</f>
        <v>0.15</v>
      </c>
      <c r="K8" s="11" t="n">
        <f aca="false">K6*Annahmen!$B$33</f>
        <v>0.15</v>
      </c>
      <c r="L8" s="11" t="n">
        <f aca="false">L6*Annahmen!$B$33</f>
        <v>0.15</v>
      </c>
      <c r="M8" s="11" t="n">
        <f aca="false">M6*Annahmen!$B$33</f>
        <v>0.15</v>
      </c>
      <c r="N8" s="11" t="n">
        <f aca="false">N6*Annahmen!$B$33</f>
        <v>0.18</v>
      </c>
      <c r="O8" s="11" t="n">
        <f aca="false">O6*Annahmen!$B$33</f>
        <v>0.18</v>
      </c>
      <c r="P8" s="11" t="n">
        <f aca="false">P6*Annahmen!$B$33</f>
        <v>0.18</v>
      </c>
      <c r="Q8" s="11" t="n">
        <f aca="false">Q6*Annahmen!$B$33</f>
        <v>0.18</v>
      </c>
      <c r="R8" s="11" t="n">
        <f aca="false">R6*Annahmen!$B$33</f>
        <v>0.18</v>
      </c>
      <c r="S8" s="11" t="n">
        <f aca="false">S6*Annahmen!$B$33</f>
        <v>0.18</v>
      </c>
      <c r="T8" s="11" t="n">
        <f aca="false">T6*Annahmen!$B$33</f>
        <v>0.18</v>
      </c>
      <c r="U8" s="11" t="n">
        <f aca="false">U6*Annahmen!$B$33</f>
        <v>0.18</v>
      </c>
      <c r="V8" s="11" t="n">
        <f aca="false">V6*Annahmen!$B$33</f>
        <v>0.18</v>
      </c>
      <c r="W8" s="11" t="n">
        <f aca="false">W6*Annahmen!$B$33</f>
        <v>0.18</v>
      </c>
      <c r="X8" s="11" t="n">
        <f aca="false">X6*Annahmen!$B$33</f>
        <v>0.18</v>
      </c>
      <c r="Y8" s="11" t="n">
        <f aca="false">Y6*Annahmen!$B$33</f>
        <v>0.18</v>
      </c>
    </row>
    <row r="9" customFormat="false" ht="15" hidden="false" customHeight="false" outlineLevel="0" collapsed="false">
      <c r="A9" s="4" t="s">
        <v>175</v>
      </c>
      <c r="B9" s="7" t="n">
        <f aca="false">IF(B$3&lt;=6,Annahmen!$B$34,IF(B$3&lt;=12,Annahmen!$B$35,Annahmen!$B$36))</f>
        <v>0</v>
      </c>
      <c r="C9" s="7" t="n">
        <f aca="false">IF(C$3&lt;=6,Annahmen!$B$34,IF(C$3&lt;=12,Annahmen!$B$35,Annahmen!$B$36))</f>
        <v>0</v>
      </c>
      <c r="D9" s="7" t="n">
        <f aca="false">IF(D$3&lt;=6,Annahmen!$B$34,IF(D$3&lt;=12,Annahmen!$B$35,Annahmen!$B$36))</f>
        <v>0</v>
      </c>
      <c r="E9" s="7" t="n">
        <f aca="false">IF(E$3&lt;=6,Annahmen!$B$34,IF(E$3&lt;=12,Annahmen!$B$35,Annahmen!$B$36))</f>
        <v>0</v>
      </c>
      <c r="F9" s="7" t="n">
        <f aca="false">IF(F$3&lt;=6,Annahmen!$B$34,IF(F$3&lt;=12,Annahmen!$B$35,Annahmen!$B$36))</f>
        <v>0</v>
      </c>
      <c r="G9" s="7" t="n">
        <f aca="false">IF(G$3&lt;=6,Annahmen!$B$34,IF(G$3&lt;=12,Annahmen!$B$35,Annahmen!$B$36))</f>
        <v>0</v>
      </c>
      <c r="H9" s="7" t="n">
        <f aca="false">IF(H$3&lt;=6,Annahmen!$B$34,IF(H$3&lt;=12,Annahmen!$B$35,Annahmen!$B$36))</f>
        <v>0.1</v>
      </c>
      <c r="I9" s="7" t="n">
        <f aca="false">IF(I$3&lt;=6,Annahmen!$B$34,IF(I$3&lt;=12,Annahmen!$B$35,Annahmen!$B$36))</f>
        <v>0.1</v>
      </c>
      <c r="J9" s="7" t="n">
        <f aca="false">IF(J$3&lt;=6,Annahmen!$B$34,IF(J$3&lt;=12,Annahmen!$B$35,Annahmen!$B$36))</f>
        <v>0.1</v>
      </c>
      <c r="K9" s="7" t="n">
        <f aca="false">IF(K$3&lt;=6,Annahmen!$B$34,IF(K$3&lt;=12,Annahmen!$B$35,Annahmen!$B$36))</f>
        <v>0.1</v>
      </c>
      <c r="L9" s="7" t="n">
        <f aca="false">IF(L$3&lt;=6,Annahmen!$B$34,IF(L$3&lt;=12,Annahmen!$B$35,Annahmen!$B$36))</f>
        <v>0.1</v>
      </c>
      <c r="M9" s="7" t="n">
        <f aca="false">IF(M$3&lt;=6,Annahmen!$B$34,IF(M$3&lt;=12,Annahmen!$B$35,Annahmen!$B$36))</f>
        <v>0.1</v>
      </c>
      <c r="N9" s="7" t="n">
        <f aca="false">IF(N$3&lt;=6,Annahmen!$B$34,IF(N$3&lt;=12,Annahmen!$B$35,Annahmen!$B$36))</f>
        <v>0.15</v>
      </c>
      <c r="O9" s="7" t="n">
        <f aca="false">IF(O$3&lt;=6,Annahmen!$B$34,IF(O$3&lt;=12,Annahmen!$B$35,Annahmen!$B$36))</f>
        <v>0.15</v>
      </c>
      <c r="P9" s="7" t="n">
        <f aca="false">IF(P$3&lt;=6,Annahmen!$B$34,IF(P$3&lt;=12,Annahmen!$B$35,Annahmen!$B$36))</f>
        <v>0.15</v>
      </c>
      <c r="Q9" s="7" t="n">
        <f aca="false">IF(Q$3&lt;=6,Annahmen!$B$34,IF(Q$3&lt;=12,Annahmen!$B$35,Annahmen!$B$36))</f>
        <v>0.15</v>
      </c>
      <c r="R9" s="7" t="n">
        <f aca="false">IF(R$3&lt;=6,Annahmen!$B$34,IF(R$3&lt;=12,Annahmen!$B$35,Annahmen!$B$36))</f>
        <v>0.15</v>
      </c>
      <c r="S9" s="7" t="n">
        <f aca="false">IF(S$3&lt;=6,Annahmen!$B$34,IF(S$3&lt;=12,Annahmen!$B$35,Annahmen!$B$36))</f>
        <v>0.15</v>
      </c>
      <c r="T9" s="7" t="n">
        <f aca="false">IF(T$3&lt;=6,Annahmen!$B$34,IF(T$3&lt;=12,Annahmen!$B$35,Annahmen!$B$36))</f>
        <v>0.15</v>
      </c>
      <c r="U9" s="7" t="n">
        <f aca="false">IF(U$3&lt;=6,Annahmen!$B$34,IF(U$3&lt;=12,Annahmen!$B$35,Annahmen!$B$36))</f>
        <v>0.15</v>
      </c>
      <c r="V9" s="7" t="n">
        <f aca="false">IF(V$3&lt;=6,Annahmen!$B$34,IF(V$3&lt;=12,Annahmen!$B$35,Annahmen!$B$36))</f>
        <v>0.15</v>
      </c>
      <c r="W9" s="7" t="n">
        <f aca="false">IF(W$3&lt;=6,Annahmen!$B$34,IF(W$3&lt;=12,Annahmen!$B$35,Annahmen!$B$36))</f>
        <v>0.15</v>
      </c>
      <c r="X9" s="7" t="n">
        <f aca="false">IF(X$3&lt;=6,Annahmen!$B$34,IF(X$3&lt;=12,Annahmen!$B$35,Annahmen!$B$36))</f>
        <v>0.15</v>
      </c>
      <c r="Y9" s="7" t="n">
        <f aca="false">IF(Y$3&lt;=6,Annahmen!$B$34,IF(Y$3&lt;=12,Annahmen!$B$35,Annahmen!$B$36))</f>
        <v>0.15</v>
      </c>
    </row>
    <row r="10" customFormat="false" ht="15" hidden="false" customHeight="false" outlineLevel="0" collapsed="false">
      <c r="A10" s="22" t="s">
        <v>176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customFormat="false" ht="15" hidden="false" customHeight="false" outlineLevel="0" collapsed="false">
      <c r="A11" s="4" t="s">
        <v>177</v>
      </c>
      <c r="B11" s="11" t="n">
        <f aca="false">0*(1-Annahmen!$B$11)+B6</f>
        <v>0.5</v>
      </c>
      <c r="C11" s="11" t="n">
        <f aca="false">B11*(1-Annahmen!$B$11)+C6</f>
        <v>0.995</v>
      </c>
      <c r="D11" s="11" t="n">
        <f aca="false">C11*(1-Annahmen!$B$11)+D6</f>
        <v>1.48505</v>
      </c>
      <c r="E11" s="11" t="n">
        <f aca="false">D11*(1-Annahmen!$B$11)+E6</f>
        <v>1.9701995</v>
      </c>
      <c r="F11" s="11" t="n">
        <f aca="false">E11*(1-Annahmen!$B$11)+F6</f>
        <v>2.450497505</v>
      </c>
      <c r="G11" s="11" t="n">
        <f aca="false">F11*(1-Annahmen!$B$11)+G6</f>
        <v>2.92599252995</v>
      </c>
      <c r="H11" s="11" t="n">
        <f aca="false">G11*(1-Annahmen!$B$11)+H6</f>
        <v>3.8967326046505</v>
      </c>
      <c r="I11" s="11" t="n">
        <f aca="false">H11*(1-Annahmen!$B$11)+I6</f>
        <v>4.857765278604</v>
      </c>
      <c r="J11" s="11" t="n">
        <f aca="false">I11*(1-Annahmen!$B$11)+J6</f>
        <v>5.80918762581796</v>
      </c>
      <c r="K11" s="11" t="n">
        <f aca="false">J11*(1-Annahmen!$B$11)+K6</f>
        <v>6.75109574955978</v>
      </c>
      <c r="L11" s="11" t="n">
        <f aca="false">K11*(1-Annahmen!$B$11)+L6</f>
        <v>7.68358479206418</v>
      </c>
      <c r="M11" s="11" t="n">
        <f aca="false">L11*(1-Annahmen!$B$11)+M6</f>
        <v>8.60674894414354</v>
      </c>
      <c r="N11" s="11" t="n">
        <f aca="false">M11*(1-Annahmen!$B$11)+N6</f>
        <v>9.7206814547021</v>
      </c>
      <c r="O11" s="11" t="n">
        <f aca="false">N11*(1-Annahmen!$B$11)+O6</f>
        <v>10.8234746401551</v>
      </c>
      <c r="P11" s="11" t="n">
        <f aca="false">O11*(1-Annahmen!$B$11)+P6</f>
        <v>11.9152398937535</v>
      </c>
      <c r="Q11" s="11" t="n">
        <f aca="false">P11*(1-Annahmen!$B$11)+Q6</f>
        <v>12.996087494816</v>
      </c>
      <c r="R11" s="11" t="n">
        <f aca="false">Q11*(1-Annahmen!$B$11)+R6</f>
        <v>14.0661266198678</v>
      </c>
      <c r="S11" s="11" t="n">
        <f aca="false">R11*(1-Annahmen!$B$11)+S6</f>
        <v>15.1254653536692</v>
      </c>
      <c r="T11" s="11" t="n">
        <f aca="false">S11*(1-Annahmen!$B$11)+T6</f>
        <v>16.1742107001325</v>
      </c>
      <c r="U11" s="11" t="n">
        <f aca="false">T11*(1-Annahmen!$B$11)+U6</f>
        <v>17.2124685931311</v>
      </c>
      <c r="V11" s="11" t="n">
        <f aca="false">U11*(1-Annahmen!$B$11)+V6</f>
        <v>18.2403439071998</v>
      </c>
      <c r="W11" s="11" t="n">
        <f aca="false">V11*(1-Annahmen!$B$11)+W6</f>
        <v>19.2579404681278</v>
      </c>
      <c r="X11" s="11" t="n">
        <f aca="false">W11*(1-Annahmen!$B$11)+X6</f>
        <v>20.2653610634465</v>
      </c>
      <c r="Y11" s="11" t="n">
        <f aca="false">X11*(1-Annahmen!$B$11)+Y6</f>
        <v>21.2627074528121</v>
      </c>
    </row>
    <row r="12" customFormat="false" ht="15" hidden="false" customHeight="false" outlineLevel="0" collapsed="false">
      <c r="A12" s="4" t="s">
        <v>178</v>
      </c>
      <c r="B12" s="11" t="n">
        <f aca="false">0*(1-Annahmen!$B$12)+B7</f>
        <v>0.15</v>
      </c>
      <c r="C12" s="11" t="n">
        <f aca="false">B12*(1-Annahmen!$B$12)+C7</f>
        <v>0.2955</v>
      </c>
      <c r="D12" s="11" t="n">
        <f aca="false">C12*(1-Annahmen!$B$12)+D7</f>
        <v>0.436635</v>
      </c>
      <c r="E12" s="11" t="n">
        <f aca="false">D12*(1-Annahmen!$B$12)+E7</f>
        <v>0.57353595</v>
      </c>
      <c r="F12" s="11" t="n">
        <f aca="false">E12*(1-Annahmen!$B$12)+F7</f>
        <v>0.7063298715</v>
      </c>
      <c r="G12" s="11" t="n">
        <f aca="false">F12*(1-Annahmen!$B$12)+G7</f>
        <v>0.835139975355</v>
      </c>
      <c r="H12" s="11" t="n">
        <f aca="false">G12*(1-Annahmen!$B$12)+H7</f>
        <v>1.11008577609435</v>
      </c>
      <c r="I12" s="11" t="n">
        <f aca="false">H12*(1-Annahmen!$B$12)+I7</f>
        <v>1.37678320281152</v>
      </c>
      <c r="J12" s="11" t="n">
        <f aca="false">I12*(1-Annahmen!$B$12)+J7</f>
        <v>1.63547970672717</v>
      </c>
      <c r="K12" s="11" t="n">
        <f aca="false">J12*(1-Annahmen!$B$12)+K7</f>
        <v>1.88641531552536</v>
      </c>
      <c r="L12" s="11" t="n">
        <f aca="false">K12*(1-Annahmen!$B$12)+L7</f>
        <v>2.1298228560596</v>
      </c>
      <c r="M12" s="11" t="n">
        <f aca="false">L12*(1-Annahmen!$B$12)+M7</f>
        <v>2.36592817037781</v>
      </c>
      <c r="N12" s="11" t="n">
        <f aca="false">M12*(1-Annahmen!$B$12)+N7</f>
        <v>2.65495032526648</v>
      </c>
      <c r="O12" s="11" t="n">
        <f aca="false">N12*(1-Annahmen!$B$12)+O7</f>
        <v>2.93530181550848</v>
      </c>
      <c r="P12" s="11" t="n">
        <f aca="false">O12*(1-Annahmen!$B$12)+P7</f>
        <v>3.20724276104323</v>
      </c>
      <c r="Q12" s="11" t="n">
        <f aca="false">P12*(1-Annahmen!$B$12)+Q7</f>
        <v>3.47102547821193</v>
      </c>
      <c r="R12" s="11" t="n">
        <f aca="false">Q12*(1-Annahmen!$B$12)+R7</f>
        <v>3.72689471386557</v>
      </c>
      <c r="S12" s="11" t="n">
        <f aca="false">R12*(1-Annahmen!$B$12)+S7</f>
        <v>3.9750878724496</v>
      </c>
      <c r="T12" s="11" t="n">
        <f aca="false">S12*(1-Annahmen!$B$12)+T7</f>
        <v>4.21583523627612</v>
      </c>
      <c r="U12" s="11" t="n">
        <f aca="false">T12*(1-Annahmen!$B$12)+U7</f>
        <v>4.44936017918783</v>
      </c>
      <c r="V12" s="11" t="n">
        <f aca="false">U12*(1-Annahmen!$B$12)+V7</f>
        <v>4.6758793738122</v>
      </c>
      <c r="W12" s="11" t="n">
        <f aca="false">V12*(1-Annahmen!$B$12)+W7</f>
        <v>4.89560299259783</v>
      </c>
      <c r="X12" s="11" t="n">
        <f aca="false">W12*(1-Annahmen!$B$12)+X7</f>
        <v>5.1087349028199</v>
      </c>
      <c r="Y12" s="11" t="n">
        <f aca="false">X12*(1-Annahmen!$B$12)+Y7</f>
        <v>5.3154728557353</v>
      </c>
    </row>
    <row r="13" customFormat="false" ht="15" hidden="false" customHeight="false" outlineLevel="0" collapsed="false">
      <c r="A13" s="4" t="s">
        <v>179</v>
      </c>
      <c r="B13" s="11" t="n">
        <f aca="false">0*(1-Annahmen!$B$13)+B8</f>
        <v>0.075</v>
      </c>
      <c r="C13" s="11" t="n">
        <f aca="false">B13*(1-Annahmen!$B$13)+C8</f>
        <v>0.147</v>
      </c>
      <c r="D13" s="11" t="n">
        <f aca="false">C13*(1-Annahmen!$B$13)+D8</f>
        <v>0.21612</v>
      </c>
      <c r="E13" s="11" t="n">
        <f aca="false">D13*(1-Annahmen!$B$13)+E8</f>
        <v>0.2824752</v>
      </c>
      <c r="F13" s="11" t="n">
        <f aca="false">E13*(1-Annahmen!$B$13)+F8</f>
        <v>0.346176192</v>
      </c>
      <c r="G13" s="11" t="n">
        <f aca="false">F13*(1-Annahmen!$B$13)+G8</f>
        <v>0.40732914432</v>
      </c>
      <c r="H13" s="11" t="n">
        <f aca="false">G13*(1-Annahmen!$B$13)+H8</f>
        <v>0.5410359785472</v>
      </c>
      <c r="I13" s="11" t="n">
        <f aca="false">H13*(1-Annahmen!$B$13)+I8</f>
        <v>0.669394539405312</v>
      </c>
      <c r="J13" s="11" t="n">
        <f aca="false">I13*(1-Annahmen!$B$13)+J8</f>
        <v>0.7926187578291</v>
      </c>
      <c r="K13" s="11" t="n">
        <f aca="false">J13*(1-Annahmen!$B$13)+K8</f>
        <v>0.910914007515936</v>
      </c>
      <c r="L13" s="11" t="n">
        <f aca="false">K13*(1-Annahmen!$B$13)+L8</f>
        <v>1.0244774472153</v>
      </c>
      <c r="M13" s="11" t="n">
        <f aca="false">L13*(1-Annahmen!$B$13)+M8</f>
        <v>1.13349834932669</v>
      </c>
      <c r="N13" s="11" t="n">
        <f aca="false">M13*(1-Annahmen!$B$13)+N8</f>
        <v>1.26815841535362</v>
      </c>
      <c r="O13" s="11" t="n">
        <f aca="false">N13*(1-Annahmen!$B$13)+O8</f>
        <v>1.39743207873947</v>
      </c>
      <c r="P13" s="11" t="n">
        <f aca="false">O13*(1-Annahmen!$B$13)+P8</f>
        <v>1.52153479558989</v>
      </c>
      <c r="Q13" s="11" t="n">
        <f aca="false">P13*(1-Annahmen!$B$13)+Q8</f>
        <v>1.6406734037663</v>
      </c>
      <c r="R13" s="11" t="n">
        <f aca="false">Q13*(1-Annahmen!$B$13)+R8</f>
        <v>1.75504646761565</v>
      </c>
      <c r="S13" s="11" t="n">
        <f aca="false">R13*(1-Annahmen!$B$13)+S8</f>
        <v>1.86484460891102</v>
      </c>
      <c r="T13" s="11" t="n">
        <f aca="false">S13*(1-Annahmen!$B$13)+T8</f>
        <v>1.97025082455458</v>
      </c>
      <c r="U13" s="11" t="n">
        <f aca="false">T13*(1-Annahmen!$B$13)+U8</f>
        <v>2.0714407915724</v>
      </c>
      <c r="V13" s="11" t="n">
        <f aca="false">U13*(1-Annahmen!$B$13)+V8</f>
        <v>2.1685831599095</v>
      </c>
      <c r="W13" s="11" t="n">
        <f aca="false">V13*(1-Annahmen!$B$13)+W8</f>
        <v>2.26183983351312</v>
      </c>
      <c r="X13" s="11" t="n">
        <f aca="false">W13*(1-Annahmen!$B$13)+X8</f>
        <v>2.3513662401726</v>
      </c>
      <c r="Y13" s="11" t="n">
        <f aca="false">X13*(1-Annahmen!$B$13)+Y8</f>
        <v>2.43731159056569</v>
      </c>
    </row>
    <row r="14" customFormat="false" ht="15" hidden="false" customHeight="false" outlineLevel="0" collapsed="false">
      <c r="A14" s="4" t="s">
        <v>180</v>
      </c>
      <c r="B14" s="11" t="n">
        <f aca="false">0*(1-Annahmen!$B$14)+B9</f>
        <v>0</v>
      </c>
      <c r="C14" s="11" t="n">
        <f aca="false">B14*(1-Annahmen!$B$14)+C9</f>
        <v>0</v>
      </c>
      <c r="D14" s="11" t="n">
        <f aca="false">C14*(1-Annahmen!$B$14)+D9</f>
        <v>0</v>
      </c>
      <c r="E14" s="11" t="n">
        <f aca="false">D14*(1-Annahmen!$B$14)+E9</f>
        <v>0</v>
      </c>
      <c r="F14" s="11" t="n">
        <f aca="false">E14*(1-Annahmen!$B$14)+F9</f>
        <v>0</v>
      </c>
      <c r="G14" s="11" t="n">
        <f aca="false">F14*(1-Annahmen!$B$14)+G9</f>
        <v>0</v>
      </c>
      <c r="H14" s="11" t="n">
        <f aca="false">G14*(1-Annahmen!$B$14)+H9</f>
        <v>0.1</v>
      </c>
      <c r="I14" s="11" t="n">
        <f aca="false">H14*(1-Annahmen!$B$14)+I9</f>
        <v>0.198</v>
      </c>
      <c r="J14" s="11" t="n">
        <f aca="false">I14*(1-Annahmen!$B$14)+J9</f>
        <v>0.29404</v>
      </c>
      <c r="K14" s="11" t="n">
        <f aca="false">J14*(1-Annahmen!$B$14)+K9</f>
        <v>0.3881592</v>
      </c>
      <c r="L14" s="11" t="n">
        <f aca="false">K14*(1-Annahmen!$B$14)+L9</f>
        <v>0.480396016</v>
      </c>
      <c r="M14" s="11" t="n">
        <f aca="false">L14*(1-Annahmen!$B$14)+M9</f>
        <v>0.57078809568</v>
      </c>
      <c r="N14" s="11" t="n">
        <f aca="false">M14*(1-Annahmen!$B$14)+N9</f>
        <v>0.7093723337664</v>
      </c>
      <c r="O14" s="11" t="n">
        <f aca="false">N14*(1-Annahmen!$B$14)+O9</f>
        <v>0.845184887091072</v>
      </c>
      <c r="P14" s="11" t="n">
        <f aca="false">O14*(1-Annahmen!$B$14)+P9</f>
        <v>0.978281189349251</v>
      </c>
      <c r="Q14" s="11" t="n">
        <f aca="false">P14*(1-Annahmen!$B$14)+Q9</f>
        <v>1.10871556556227</v>
      </c>
      <c r="R14" s="11" t="n">
        <f aca="false">Q14*(1-Annahmen!$B$14)+R9</f>
        <v>1.23654125425102</v>
      </c>
      <c r="S14" s="11" t="n">
        <f aca="false">R14*(1-Annahmen!$B$14)+S9</f>
        <v>1.361810429166</v>
      </c>
      <c r="T14" s="11" t="n">
        <f aca="false">S14*(1-Annahmen!$B$14)+T9</f>
        <v>1.48457422058268</v>
      </c>
      <c r="U14" s="11" t="n">
        <f aca="false">T14*(1-Annahmen!$B$14)+U9</f>
        <v>1.60488273617103</v>
      </c>
      <c r="V14" s="11" t="n">
        <f aca="false">U14*(1-Annahmen!$B$14)+V9</f>
        <v>1.72278508144761</v>
      </c>
      <c r="W14" s="11" t="n">
        <f aca="false">V14*(1-Annahmen!$B$14)+W9</f>
        <v>1.83832937981865</v>
      </c>
      <c r="X14" s="11" t="n">
        <f aca="false">W14*(1-Annahmen!$B$14)+X9</f>
        <v>1.95156279222228</v>
      </c>
      <c r="Y14" s="11" t="n">
        <f aca="false">X14*(1-Annahmen!$B$14)+Y9</f>
        <v>2.06253153637783</v>
      </c>
    </row>
    <row r="15" customFormat="false" ht="15" hidden="false" customHeight="false" outlineLevel="0" collapsed="false">
      <c r="A15" s="22" t="s">
        <v>181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customFormat="false" ht="15" hidden="false" customHeight="false" outlineLevel="0" collapsed="false">
      <c r="A16" s="4" t="s">
        <v>182</v>
      </c>
      <c r="B16" s="18" t="n">
        <f aca="false">B11*Annahmen!$B$6</f>
        <v>34.5</v>
      </c>
      <c r="C16" s="18" t="n">
        <f aca="false">C11*Annahmen!$B$6</f>
        <v>68.655</v>
      </c>
      <c r="D16" s="18" t="n">
        <f aca="false">D11*Annahmen!$B$6</f>
        <v>102.46845</v>
      </c>
      <c r="E16" s="18" t="n">
        <f aca="false">E11*Annahmen!$B$6</f>
        <v>135.9437655</v>
      </c>
      <c r="F16" s="18" t="n">
        <f aca="false">F11*Annahmen!$B$6</f>
        <v>169.084327845</v>
      </c>
      <c r="G16" s="18" t="n">
        <f aca="false">G11*Annahmen!$B$6</f>
        <v>201.89348456655</v>
      </c>
      <c r="H16" s="18" t="n">
        <f aca="false">H11*Annahmen!$B$6</f>
        <v>268.874549720885</v>
      </c>
      <c r="I16" s="18" t="n">
        <f aca="false">I11*Annahmen!$B$6</f>
        <v>335.185804223676</v>
      </c>
      <c r="J16" s="18" t="n">
        <f aca="false">J11*Annahmen!$B$6</f>
        <v>400.833946181439</v>
      </c>
      <c r="K16" s="18" t="n">
        <f aca="false">K11*Annahmen!$B$6</f>
        <v>465.825606719625</v>
      </c>
      <c r="L16" s="18" t="n">
        <f aca="false">L11*Annahmen!$B$6</f>
        <v>530.167350652428</v>
      </c>
      <c r="M16" s="18" t="n">
        <f aca="false">M11*Annahmen!$B$6</f>
        <v>593.865677145904</v>
      </c>
      <c r="N16" s="18" t="n">
        <f aca="false">N11*Annahmen!$B$6</f>
        <v>670.727020374445</v>
      </c>
      <c r="O16" s="18" t="n">
        <f aca="false">O11*Annahmen!$B$6</f>
        <v>746.8197501707</v>
      </c>
      <c r="P16" s="18" t="n">
        <f aca="false">P11*Annahmen!$B$6</f>
        <v>822.151552668993</v>
      </c>
      <c r="Q16" s="18" t="n">
        <f aca="false">Q11*Annahmen!$B$6</f>
        <v>896.730037142303</v>
      </c>
      <c r="R16" s="18" t="n">
        <f aca="false">R11*Annahmen!$B$6</f>
        <v>970.56273677088</v>
      </c>
      <c r="S16" s="18" t="n">
        <f aca="false">S11*Annahmen!$B$6</f>
        <v>1043.65710940317</v>
      </c>
      <c r="T16" s="18" t="n">
        <f aca="false">T11*Annahmen!$B$6</f>
        <v>1116.02053830914</v>
      </c>
      <c r="U16" s="18" t="n">
        <f aca="false">U11*Annahmen!$B$6</f>
        <v>1187.66033292605</v>
      </c>
      <c r="V16" s="18" t="n">
        <f aca="false">V11*Annahmen!$B$6</f>
        <v>1258.58372959679</v>
      </c>
      <c r="W16" s="18" t="n">
        <f aca="false">W11*Annahmen!$B$6</f>
        <v>1328.79789230082</v>
      </c>
      <c r="X16" s="18" t="n">
        <f aca="false">X11*Annahmen!$B$6</f>
        <v>1398.30991337781</v>
      </c>
      <c r="Y16" s="18" t="n">
        <f aca="false">Y11*Annahmen!$B$6</f>
        <v>1467.12681424403</v>
      </c>
    </row>
    <row r="17" customFormat="false" ht="15" hidden="false" customHeight="false" outlineLevel="0" collapsed="false">
      <c r="A17" s="4" t="s">
        <v>183</v>
      </c>
      <c r="B17" s="18" t="n">
        <f aca="false">B12*Annahmen!$B$7</f>
        <v>78</v>
      </c>
      <c r="C17" s="18" t="n">
        <f aca="false">C12*Annahmen!$B$7</f>
        <v>153.66</v>
      </c>
      <c r="D17" s="18" t="n">
        <f aca="false">D12*Annahmen!$B$7</f>
        <v>227.0502</v>
      </c>
      <c r="E17" s="18" t="n">
        <f aca="false">E12*Annahmen!$B$7</f>
        <v>298.238694</v>
      </c>
      <c r="F17" s="18" t="n">
        <f aca="false">F12*Annahmen!$B$7</f>
        <v>367.29153318</v>
      </c>
      <c r="G17" s="18" t="n">
        <f aca="false">G12*Annahmen!$B$7</f>
        <v>434.2727871846</v>
      </c>
      <c r="H17" s="18" t="n">
        <f aca="false">H12*Annahmen!$B$7</f>
        <v>577.244603569062</v>
      </c>
      <c r="I17" s="18" t="n">
        <f aca="false">I12*Annahmen!$B$7</f>
        <v>715.92726546199</v>
      </c>
      <c r="J17" s="18" t="n">
        <f aca="false">J12*Annahmen!$B$7</f>
        <v>850.44944749813</v>
      </c>
      <c r="K17" s="18" t="n">
        <f aca="false">K12*Annahmen!$B$7</f>
        <v>980.935964073187</v>
      </c>
      <c r="L17" s="18" t="n">
        <f aca="false">L12*Annahmen!$B$7</f>
        <v>1107.50788515099</v>
      </c>
      <c r="M17" s="18" t="n">
        <f aca="false">M12*Annahmen!$B$7</f>
        <v>1230.28264859646</v>
      </c>
      <c r="N17" s="18" t="n">
        <f aca="false">N12*Annahmen!$B$7</f>
        <v>1380.57416913857</v>
      </c>
      <c r="O17" s="18" t="n">
        <f aca="false">O12*Annahmen!$B$7</f>
        <v>1526.35694406441</v>
      </c>
      <c r="P17" s="18" t="n">
        <f aca="false">P12*Annahmen!$B$7</f>
        <v>1667.76623574248</v>
      </c>
      <c r="Q17" s="18" t="n">
        <f aca="false">Q12*Annahmen!$B$7</f>
        <v>1804.9332486702</v>
      </c>
      <c r="R17" s="18" t="n">
        <f aca="false">R12*Annahmen!$B$7</f>
        <v>1937.9852512101</v>
      </c>
      <c r="S17" s="18" t="n">
        <f aca="false">S12*Annahmen!$B$7</f>
        <v>2067.04569367379</v>
      </c>
      <c r="T17" s="18" t="n">
        <f aca="false">T12*Annahmen!$B$7</f>
        <v>2192.23432286358</v>
      </c>
      <c r="U17" s="18" t="n">
        <f aca="false">U12*Annahmen!$B$7</f>
        <v>2313.66729317767</v>
      </c>
      <c r="V17" s="18" t="n">
        <f aca="false">V12*Annahmen!$B$7</f>
        <v>2431.45727438234</v>
      </c>
      <c r="W17" s="18" t="n">
        <f aca="false">W12*Annahmen!$B$7</f>
        <v>2545.71355615087</v>
      </c>
      <c r="X17" s="18" t="n">
        <f aca="false">X12*Annahmen!$B$7</f>
        <v>2656.54214946635</v>
      </c>
      <c r="Y17" s="18" t="n">
        <f aca="false">Y12*Annahmen!$B$7</f>
        <v>2764.04588498236</v>
      </c>
    </row>
    <row r="18" customFormat="false" ht="15" hidden="false" customHeight="false" outlineLevel="0" collapsed="false">
      <c r="A18" s="4" t="s">
        <v>184</v>
      </c>
      <c r="B18" s="18" t="n">
        <f aca="false">B13*Annahmen!$B$8</f>
        <v>21.75</v>
      </c>
      <c r="C18" s="18" t="n">
        <f aca="false">C13*Annahmen!$B$8</f>
        <v>42.63</v>
      </c>
      <c r="D18" s="18" t="n">
        <f aca="false">D13*Annahmen!$B$8</f>
        <v>62.6748</v>
      </c>
      <c r="E18" s="18" t="n">
        <f aca="false">E13*Annahmen!$B$8</f>
        <v>81.917808</v>
      </c>
      <c r="F18" s="18" t="n">
        <f aca="false">F13*Annahmen!$B$8</f>
        <v>100.39109568</v>
      </c>
      <c r="G18" s="18" t="n">
        <f aca="false">G13*Annahmen!$B$8</f>
        <v>118.1254518528</v>
      </c>
      <c r="H18" s="18" t="n">
        <f aca="false">H13*Annahmen!$B$8</f>
        <v>156.900433778688</v>
      </c>
      <c r="I18" s="18" t="n">
        <f aca="false">I13*Annahmen!$B$8</f>
        <v>194.124416427541</v>
      </c>
      <c r="J18" s="18" t="n">
        <f aca="false">J13*Annahmen!$B$8</f>
        <v>229.859439770439</v>
      </c>
      <c r="K18" s="18" t="n">
        <f aca="false">K13*Annahmen!$B$8</f>
        <v>264.165062179621</v>
      </c>
      <c r="L18" s="18" t="n">
        <f aca="false">L13*Annahmen!$B$8</f>
        <v>297.098459692436</v>
      </c>
      <c r="M18" s="18" t="n">
        <f aca="false">M13*Annahmen!$B$8</f>
        <v>328.714521304739</v>
      </c>
      <c r="N18" s="18" t="n">
        <f aca="false">N13*Annahmen!$B$8</f>
        <v>367.765940452549</v>
      </c>
      <c r="O18" s="18" t="n">
        <f aca="false">O13*Annahmen!$B$8</f>
        <v>405.255302834447</v>
      </c>
      <c r="P18" s="18" t="n">
        <f aca="false">P13*Annahmen!$B$8</f>
        <v>441.245090721069</v>
      </c>
      <c r="Q18" s="18" t="n">
        <f aca="false">Q13*Annahmen!$B$8</f>
        <v>475.795287092227</v>
      </c>
      <c r="R18" s="18" t="n">
        <f aca="false">R13*Annahmen!$B$8</f>
        <v>508.963475608537</v>
      </c>
      <c r="S18" s="18" t="n">
        <f aca="false">S13*Annahmen!$B$8</f>
        <v>540.804936584196</v>
      </c>
      <c r="T18" s="18" t="n">
        <f aca="false">T13*Annahmen!$B$8</f>
        <v>571.372739120828</v>
      </c>
      <c r="U18" s="18" t="n">
        <f aca="false">U13*Annahmen!$B$8</f>
        <v>600.717829555995</v>
      </c>
      <c r="V18" s="18" t="n">
        <f aca="false">V13*Annahmen!$B$8</f>
        <v>628.889116373755</v>
      </c>
      <c r="W18" s="18" t="n">
        <f aca="false">W13*Annahmen!$B$8</f>
        <v>655.933551718805</v>
      </c>
      <c r="X18" s="18" t="n">
        <f aca="false">X13*Annahmen!$B$8</f>
        <v>681.896209650053</v>
      </c>
      <c r="Y18" s="18" t="n">
        <f aca="false">Y13*Annahmen!$B$8</f>
        <v>706.820361264051</v>
      </c>
    </row>
    <row r="19" customFormat="false" ht="15" hidden="false" customHeight="false" outlineLevel="0" collapsed="false">
      <c r="A19" s="4" t="s">
        <v>185</v>
      </c>
      <c r="B19" s="18" t="n">
        <f aca="false">B14*Annahmen!$B$10</f>
        <v>0</v>
      </c>
      <c r="C19" s="18" t="n">
        <f aca="false">C14*Annahmen!$B$10</f>
        <v>0</v>
      </c>
      <c r="D19" s="18" t="n">
        <f aca="false">D14*Annahmen!$B$10</f>
        <v>0</v>
      </c>
      <c r="E19" s="18" t="n">
        <f aca="false">E14*Annahmen!$B$10</f>
        <v>0</v>
      </c>
      <c r="F19" s="18" t="n">
        <f aca="false">F14*Annahmen!$B$10</f>
        <v>0</v>
      </c>
      <c r="G19" s="18" t="n">
        <f aca="false">G14*Annahmen!$B$10</f>
        <v>0</v>
      </c>
      <c r="H19" s="18" t="n">
        <f aca="false">H14*Annahmen!$B$10</f>
        <v>119</v>
      </c>
      <c r="I19" s="18" t="n">
        <f aca="false">I14*Annahmen!$B$10</f>
        <v>235.62</v>
      </c>
      <c r="J19" s="18" t="n">
        <f aca="false">J14*Annahmen!$B$10</f>
        <v>349.9076</v>
      </c>
      <c r="K19" s="18" t="n">
        <f aca="false">K14*Annahmen!$B$10</f>
        <v>461.909448</v>
      </c>
      <c r="L19" s="18" t="n">
        <f aca="false">L14*Annahmen!$B$10</f>
        <v>571.67125904</v>
      </c>
      <c r="M19" s="18" t="n">
        <f aca="false">M14*Annahmen!$B$10</f>
        <v>679.2378338592</v>
      </c>
      <c r="N19" s="18" t="n">
        <f aca="false">N14*Annahmen!$B$10</f>
        <v>844.153077182016</v>
      </c>
      <c r="O19" s="18" t="n">
        <f aca="false">O14*Annahmen!$B$10</f>
        <v>1005.77001563838</v>
      </c>
      <c r="P19" s="18" t="n">
        <f aca="false">P14*Annahmen!$B$10</f>
        <v>1164.15461532561</v>
      </c>
      <c r="Q19" s="18" t="n">
        <f aca="false">Q14*Annahmen!$B$10</f>
        <v>1319.3715230191</v>
      </c>
      <c r="R19" s="18" t="n">
        <f aca="false">R14*Annahmen!$B$10</f>
        <v>1471.48409255871</v>
      </c>
      <c r="S19" s="18" t="n">
        <f aca="false">S14*Annahmen!$B$10</f>
        <v>1620.55441070754</v>
      </c>
      <c r="T19" s="18" t="n">
        <f aca="false">T14*Annahmen!$B$10</f>
        <v>1766.64332249339</v>
      </c>
      <c r="U19" s="18" t="n">
        <f aca="false">U14*Annahmen!$B$10</f>
        <v>1909.81045604352</v>
      </c>
      <c r="V19" s="18" t="n">
        <f aca="false">V14*Annahmen!$B$10</f>
        <v>2050.11424692265</v>
      </c>
      <c r="W19" s="18" t="n">
        <f aca="false">W14*Annahmen!$B$10</f>
        <v>2187.6119619842</v>
      </c>
      <c r="X19" s="18" t="n">
        <f aca="false">X14*Annahmen!$B$10</f>
        <v>2322.35972274451</v>
      </c>
      <c r="Y19" s="18" t="n">
        <f aca="false">Y14*Annahmen!$B$10</f>
        <v>2454.41252828962</v>
      </c>
    </row>
    <row r="20" customFormat="false" ht="15" hidden="false" customHeight="false" outlineLevel="0" collapsed="false">
      <c r="A20" s="8" t="s">
        <v>186</v>
      </c>
      <c r="B20" s="23" t="n">
        <f aca="false">SUM(B16:B19)</f>
        <v>134.25</v>
      </c>
      <c r="C20" s="23" t="n">
        <f aca="false">SUM(C16:C19)</f>
        <v>264.945</v>
      </c>
      <c r="D20" s="23" t="n">
        <f aca="false">SUM(D16:D19)</f>
        <v>392.19345</v>
      </c>
      <c r="E20" s="23" t="n">
        <f aca="false">SUM(E16:E19)</f>
        <v>516.1002675</v>
      </c>
      <c r="F20" s="23" t="n">
        <f aca="false">SUM(F16:F19)</f>
        <v>636.766956705</v>
      </c>
      <c r="G20" s="23" t="n">
        <f aca="false">SUM(G16:G19)</f>
        <v>754.29172360395</v>
      </c>
      <c r="H20" s="23" t="n">
        <f aca="false">SUM(H16:H19)</f>
        <v>1122.01958706863</v>
      </c>
      <c r="I20" s="23" t="n">
        <f aca="false">SUM(I16:I19)</f>
        <v>1480.85748611321</v>
      </c>
      <c r="J20" s="23" t="n">
        <f aca="false">SUM(J16:J19)</f>
        <v>1831.05043345001</v>
      </c>
      <c r="K20" s="23" t="n">
        <f aca="false">SUM(K16:K19)</f>
        <v>2172.83608097243</v>
      </c>
      <c r="L20" s="23" t="n">
        <f aca="false">SUM(L16:L19)</f>
        <v>2506.44495453586</v>
      </c>
      <c r="M20" s="23" t="n">
        <f aca="false">SUM(M16:M19)</f>
        <v>2832.1006809063</v>
      </c>
      <c r="N20" s="23" t="n">
        <f aca="false">SUM(N16:N19)</f>
        <v>3263.22020714758</v>
      </c>
      <c r="O20" s="23" t="n">
        <f aca="false">SUM(O16:O19)</f>
        <v>3684.20201270793</v>
      </c>
      <c r="P20" s="23" t="n">
        <f aca="false">SUM(P16:P19)</f>
        <v>4095.31749445815</v>
      </c>
      <c r="Q20" s="23" t="n">
        <f aca="false">SUM(Q16:Q19)</f>
        <v>4496.83009592383</v>
      </c>
      <c r="R20" s="23" t="n">
        <f aca="false">SUM(R16:R19)</f>
        <v>4888.99555614823</v>
      </c>
      <c r="S20" s="23" t="n">
        <f aca="false">SUM(S16:S19)</f>
        <v>5272.0621503687</v>
      </c>
      <c r="T20" s="23" t="n">
        <f aca="false">SUM(T16:T19)</f>
        <v>5646.27092278694</v>
      </c>
      <c r="U20" s="23" t="n">
        <f aca="false">SUM(U16:U19)</f>
        <v>6011.85591170324</v>
      </c>
      <c r="V20" s="23" t="n">
        <f aca="false">SUM(V16:V19)</f>
        <v>6369.04436727554</v>
      </c>
      <c r="W20" s="23" t="n">
        <f aca="false">SUM(W16:W19)</f>
        <v>6718.0569621547</v>
      </c>
      <c r="X20" s="23" t="n">
        <f aca="false">SUM(X16:X19)</f>
        <v>7059.10799523872</v>
      </c>
      <c r="Y20" s="23" t="n">
        <f aca="false">SUM(Y16:Y19)</f>
        <v>7392.40558878006</v>
      </c>
    </row>
    <row r="21" customFormat="false" ht="15" hidden="false" customHeight="false" outlineLevel="0" collapsed="false">
      <c r="A21" s="4" t="s">
        <v>187</v>
      </c>
      <c r="B21" s="18" t="n">
        <f aca="false">B6*Annahmen!$B$5+B8*Annahmen!$B$9</f>
        <v>1129.25</v>
      </c>
      <c r="C21" s="18" t="n">
        <f aca="false">C6*Annahmen!$B$5+C8*Annahmen!$B$9</f>
        <v>1129.25</v>
      </c>
      <c r="D21" s="18" t="n">
        <f aca="false">D6*Annahmen!$B$5+D8*Annahmen!$B$9</f>
        <v>1129.25</v>
      </c>
      <c r="E21" s="18" t="n">
        <f aca="false">E6*Annahmen!$B$5+E8*Annahmen!$B$9</f>
        <v>1129.25</v>
      </c>
      <c r="F21" s="18" t="n">
        <f aca="false">F6*Annahmen!$B$5+F8*Annahmen!$B$9</f>
        <v>1129.25</v>
      </c>
      <c r="G21" s="18" t="n">
        <f aca="false">G6*Annahmen!$B$5+G8*Annahmen!$B$9</f>
        <v>1129.25</v>
      </c>
      <c r="H21" s="18" t="n">
        <f aca="false">H6*Annahmen!$B$5+H8*Annahmen!$B$9</f>
        <v>2258.5</v>
      </c>
      <c r="I21" s="18" t="n">
        <f aca="false">I6*Annahmen!$B$5+I8*Annahmen!$B$9</f>
        <v>2258.5</v>
      </c>
      <c r="J21" s="18" t="n">
        <f aca="false">J6*Annahmen!$B$5+J8*Annahmen!$B$9</f>
        <v>2258.5</v>
      </c>
      <c r="K21" s="18" t="n">
        <f aca="false">K6*Annahmen!$B$5+K8*Annahmen!$B$9</f>
        <v>2258.5</v>
      </c>
      <c r="L21" s="18" t="n">
        <f aca="false">L6*Annahmen!$B$5+L8*Annahmen!$B$9</f>
        <v>2258.5</v>
      </c>
      <c r="M21" s="18" t="n">
        <f aca="false">M6*Annahmen!$B$5+M8*Annahmen!$B$9</f>
        <v>2258.5</v>
      </c>
      <c r="N21" s="18" t="n">
        <f aca="false">N6*Annahmen!$B$5+N8*Annahmen!$B$9</f>
        <v>2710.2</v>
      </c>
      <c r="O21" s="18" t="n">
        <f aca="false">O6*Annahmen!$B$5+O8*Annahmen!$B$9</f>
        <v>2710.2</v>
      </c>
      <c r="P21" s="18" t="n">
        <f aca="false">P6*Annahmen!$B$5+P8*Annahmen!$B$9</f>
        <v>2710.2</v>
      </c>
      <c r="Q21" s="18" t="n">
        <f aca="false">Q6*Annahmen!$B$5+Q8*Annahmen!$B$9</f>
        <v>2710.2</v>
      </c>
      <c r="R21" s="18" t="n">
        <f aca="false">R6*Annahmen!$B$5+R8*Annahmen!$B$9</f>
        <v>2710.2</v>
      </c>
      <c r="S21" s="18" t="n">
        <f aca="false">S6*Annahmen!$B$5+S8*Annahmen!$B$9</f>
        <v>2710.2</v>
      </c>
      <c r="T21" s="18" t="n">
        <f aca="false">T6*Annahmen!$B$5+T8*Annahmen!$B$9</f>
        <v>2710.2</v>
      </c>
      <c r="U21" s="18" t="n">
        <f aca="false">U6*Annahmen!$B$5+U8*Annahmen!$B$9</f>
        <v>2710.2</v>
      </c>
      <c r="V21" s="18" t="n">
        <f aca="false">V6*Annahmen!$B$5+V8*Annahmen!$B$9</f>
        <v>2710.2</v>
      </c>
      <c r="W21" s="18" t="n">
        <f aca="false">W6*Annahmen!$B$5+W8*Annahmen!$B$9</f>
        <v>2710.2</v>
      </c>
      <c r="X21" s="18" t="n">
        <f aca="false">X6*Annahmen!$B$5+X8*Annahmen!$B$9</f>
        <v>2710.2</v>
      </c>
      <c r="Y21" s="18" t="n">
        <f aca="false">Y6*Annahmen!$B$5+Y8*Annahmen!$B$9</f>
        <v>2710.2</v>
      </c>
    </row>
    <row r="22" customFormat="false" ht="15" hidden="false" customHeight="false" outlineLevel="0" collapsed="false">
      <c r="A22" s="8" t="s">
        <v>188</v>
      </c>
      <c r="B22" s="23" t="n">
        <f aca="false">B20+B21</f>
        <v>1263.5</v>
      </c>
      <c r="C22" s="23" t="n">
        <f aca="false">C20+C21</f>
        <v>1394.195</v>
      </c>
      <c r="D22" s="23" t="n">
        <f aca="false">D20+D21</f>
        <v>1521.44345</v>
      </c>
      <c r="E22" s="23" t="n">
        <f aca="false">E20+E21</f>
        <v>1645.3502675</v>
      </c>
      <c r="F22" s="23" t="n">
        <f aca="false">F20+F21</f>
        <v>1766.016956705</v>
      </c>
      <c r="G22" s="23" t="n">
        <f aca="false">G20+G21</f>
        <v>1883.54172360395</v>
      </c>
      <c r="H22" s="23" t="n">
        <f aca="false">H20+H21</f>
        <v>3380.51958706864</v>
      </c>
      <c r="I22" s="23" t="n">
        <f aca="false">I20+I21</f>
        <v>3739.35748611321</v>
      </c>
      <c r="J22" s="23" t="n">
        <f aca="false">J20+J21</f>
        <v>4089.55043345001</v>
      </c>
      <c r="K22" s="23" t="n">
        <f aca="false">K20+K21</f>
        <v>4431.33608097243</v>
      </c>
      <c r="L22" s="23" t="n">
        <f aca="false">L20+L21</f>
        <v>4764.94495453586</v>
      </c>
      <c r="M22" s="23" t="n">
        <f aca="false">M20+M21</f>
        <v>5090.6006809063</v>
      </c>
      <c r="N22" s="23" t="n">
        <f aca="false">N20+N21</f>
        <v>5973.42020714758</v>
      </c>
      <c r="O22" s="23" t="n">
        <f aca="false">O20+O21</f>
        <v>6394.40201270793</v>
      </c>
      <c r="P22" s="23" t="n">
        <f aca="false">P20+P21</f>
        <v>6805.51749445815</v>
      </c>
      <c r="Q22" s="23" t="n">
        <f aca="false">Q20+Q21</f>
        <v>7207.03009592383</v>
      </c>
      <c r="R22" s="23" t="n">
        <f aca="false">R20+R21</f>
        <v>7599.19555614823</v>
      </c>
      <c r="S22" s="23" t="n">
        <f aca="false">S20+S21</f>
        <v>7982.2621503687</v>
      </c>
      <c r="T22" s="23" t="n">
        <f aca="false">T20+T21</f>
        <v>8356.47092278694</v>
      </c>
      <c r="U22" s="23" t="n">
        <f aca="false">U20+U21</f>
        <v>8722.05591170324</v>
      </c>
      <c r="V22" s="23" t="n">
        <f aca="false">V20+V21</f>
        <v>9079.24436727554</v>
      </c>
      <c r="W22" s="23" t="n">
        <f aca="false">W20+W21</f>
        <v>9428.25696215469</v>
      </c>
      <c r="X22" s="23" t="n">
        <f aca="false">X20+X21</f>
        <v>9769.30799523872</v>
      </c>
      <c r="Y22" s="23" t="n">
        <f aca="false">Y20+Y21</f>
        <v>10102.6055887801</v>
      </c>
    </row>
    <row r="23" customFormat="false" ht="15" hidden="false" customHeight="false" outlineLevel="0" collapsed="false">
      <c r="A23" s="22" t="s">
        <v>189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customFormat="false" ht="15" hidden="false" customHeight="false" outlineLevel="0" collapsed="false">
      <c r="A24" s="4" t="s">
        <v>190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191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192</v>
      </c>
      <c r="B26" s="11" t="n">
        <f aca="false">B6*Annahmen!$B$18+B12*Annahmen!$B$19+B14*Annahmen!$B$20</f>
        <v>4.3</v>
      </c>
      <c r="C26" s="11" t="n">
        <f aca="false">C6*Annahmen!$B$18+C12*Annahmen!$B$19+C14*Annahmen!$B$20</f>
        <v>4.591</v>
      </c>
      <c r="D26" s="11" t="n">
        <f aca="false">D6*Annahmen!$B$18+D12*Annahmen!$B$19+D14*Annahmen!$B$20</f>
        <v>4.87327</v>
      </c>
      <c r="E26" s="11" t="n">
        <f aca="false">E6*Annahmen!$B$18+E12*Annahmen!$B$19+E14*Annahmen!$B$20</f>
        <v>5.1470719</v>
      </c>
      <c r="F26" s="11" t="n">
        <f aca="false">F6*Annahmen!$B$18+F12*Annahmen!$B$19+F14*Annahmen!$B$20</f>
        <v>5.412659743</v>
      </c>
      <c r="G26" s="11" t="n">
        <f aca="false">G6*Annahmen!$B$18+G12*Annahmen!$B$19+G14*Annahmen!$B$20</f>
        <v>5.67027995071</v>
      </c>
      <c r="H26" s="11" t="n">
        <f aca="false">H6*Annahmen!$B$18+H12*Annahmen!$B$19+H14*Annahmen!$B$20</f>
        <v>10.7201715521887</v>
      </c>
      <c r="I26" s="11" t="n">
        <f aca="false">I6*Annahmen!$B$18+I12*Annahmen!$B$19+I14*Annahmen!$B$20</f>
        <v>11.743566405623</v>
      </c>
      <c r="J26" s="11" t="n">
        <f aca="false">J6*Annahmen!$B$18+J12*Annahmen!$B$19+J14*Annahmen!$B$20</f>
        <v>12.7411594134543</v>
      </c>
      <c r="K26" s="11" t="n">
        <f aca="false">K6*Annahmen!$B$18+K12*Annahmen!$B$19+K14*Annahmen!$B$20</f>
        <v>13.7136266310507</v>
      </c>
      <c r="L26" s="11" t="n">
        <f aca="false">L6*Annahmen!$B$18+L12*Annahmen!$B$19+L14*Annahmen!$B$20</f>
        <v>14.6616257921192</v>
      </c>
      <c r="M26" s="11" t="n">
        <f aca="false">M6*Annahmen!$B$18+M12*Annahmen!$B$19+M14*Annahmen!$B$20</f>
        <v>15.5857968191556</v>
      </c>
      <c r="N26" s="11" t="n">
        <f aca="false">N6*Annahmen!$B$18+N12*Annahmen!$B$19+N14*Annahmen!$B$20</f>
        <v>18.456762319365</v>
      </c>
      <c r="O26" s="11" t="n">
        <f aca="false">O6*Annahmen!$B$18+O12*Annahmen!$B$19+O14*Annahmen!$B$20</f>
        <v>19.6965280664723</v>
      </c>
      <c r="P26" s="11" t="n">
        <f aca="false">P6*Annahmen!$B$18+P12*Annahmen!$B$19+P14*Annahmen!$B$20</f>
        <v>20.9058914688327</v>
      </c>
      <c r="Q26" s="11" t="n">
        <f aca="false">Q6*Annahmen!$B$18+Q12*Annahmen!$B$19+Q14*Annahmen!$B$20</f>
        <v>22.0856287842352</v>
      </c>
      <c r="R26" s="11" t="n">
        <f aca="false">R6*Annahmen!$B$18+R12*Annahmen!$B$19+R14*Annahmen!$B$20</f>
        <v>23.2364956989862</v>
      </c>
      <c r="S26" s="11" t="n">
        <f aca="false">S6*Annahmen!$B$18+S12*Annahmen!$B$19+S14*Annahmen!$B$20</f>
        <v>24.3592278907292</v>
      </c>
      <c r="T26" s="11" t="n">
        <f aca="false">T6*Annahmen!$B$18+T12*Annahmen!$B$19+T14*Annahmen!$B$20</f>
        <v>25.4545415754656</v>
      </c>
      <c r="U26" s="11" t="n">
        <f aca="false">U6*Annahmen!$B$18+U12*Annahmen!$B$19+U14*Annahmen!$B$20</f>
        <v>26.5231340392308</v>
      </c>
      <c r="V26" s="11" t="n">
        <f aca="false">V6*Annahmen!$B$18+V12*Annahmen!$B$19+V14*Annahmen!$B$20</f>
        <v>27.5656841548624</v>
      </c>
      <c r="W26" s="11" t="n">
        <f aca="false">W6*Annahmen!$B$18+W12*Annahmen!$B$19+W14*Annahmen!$B$20</f>
        <v>28.5828528842889</v>
      </c>
      <c r="X26" s="11" t="n">
        <f aca="false">X6*Annahmen!$B$18+X12*Annahmen!$B$19+X14*Annahmen!$B$20</f>
        <v>29.5752837667512</v>
      </c>
      <c r="Y26" s="11" t="n">
        <f aca="false">Y6*Annahmen!$B$18+Y12*Annahmen!$B$19+Y14*Annahmen!$B$20</f>
        <v>30.5436033933598</v>
      </c>
    </row>
    <row r="27" customFormat="false" ht="15" hidden="false" customHeight="false" outlineLevel="0" collapsed="false">
      <c r="A27" s="4" t="s">
        <v>193</v>
      </c>
      <c r="B27" s="18" t="n">
        <f aca="false">B26*Annahmen!$B$17</f>
        <v>193.5</v>
      </c>
      <c r="C27" s="18" t="n">
        <f aca="false">C26*Annahmen!$B$17</f>
        <v>206.595</v>
      </c>
      <c r="D27" s="18" t="n">
        <f aca="false">D26*Annahmen!$B$17</f>
        <v>219.29715</v>
      </c>
      <c r="E27" s="18" t="n">
        <f aca="false">E26*Annahmen!$B$17</f>
        <v>231.6182355</v>
      </c>
      <c r="F27" s="18" t="n">
        <f aca="false">F26*Annahmen!$B$17</f>
        <v>243.569688435</v>
      </c>
      <c r="G27" s="18" t="n">
        <f aca="false">G26*Annahmen!$B$17</f>
        <v>255.16259778195</v>
      </c>
      <c r="H27" s="18" t="n">
        <f aca="false">H26*Annahmen!$B$17</f>
        <v>482.407719848492</v>
      </c>
      <c r="I27" s="18" t="n">
        <f aca="false">I26*Annahmen!$B$17</f>
        <v>528.460488253037</v>
      </c>
      <c r="J27" s="18" t="n">
        <f aca="false">J26*Annahmen!$B$17</f>
        <v>573.352173605446</v>
      </c>
      <c r="K27" s="18" t="n">
        <f aca="false">K26*Annahmen!$B$17</f>
        <v>617.113198397282</v>
      </c>
      <c r="L27" s="18" t="n">
        <f aca="false">L26*Annahmen!$B$17</f>
        <v>659.773160645364</v>
      </c>
      <c r="M27" s="18" t="n">
        <f aca="false">M26*Annahmen!$B$17</f>
        <v>701.360856862003</v>
      </c>
      <c r="N27" s="18" t="n">
        <f aca="false">N26*Annahmen!$B$17</f>
        <v>830.554304371423</v>
      </c>
      <c r="O27" s="18" t="n">
        <f aca="false">O26*Annahmen!$B$17</f>
        <v>886.343762991255</v>
      </c>
      <c r="P27" s="18" t="n">
        <f aca="false">P26*Annahmen!$B$17</f>
        <v>940.765116097472</v>
      </c>
      <c r="Q27" s="18" t="n">
        <f aca="false">Q26*Annahmen!$B$17</f>
        <v>993.853295290583</v>
      </c>
      <c r="R27" s="18" t="n">
        <f aca="false">R26*Annahmen!$B$17</f>
        <v>1045.64230645438</v>
      </c>
      <c r="S27" s="18" t="n">
        <f aca="false">S26*Annahmen!$B$17</f>
        <v>1096.16525508281</v>
      </c>
      <c r="T27" s="18" t="n">
        <f aca="false">T26*Annahmen!$B$17</f>
        <v>1145.45437089595</v>
      </c>
      <c r="U27" s="18" t="n">
        <f aca="false">U26*Annahmen!$B$17</f>
        <v>1193.54103176539</v>
      </c>
      <c r="V27" s="18" t="n">
        <f aca="false">V26*Annahmen!$B$17</f>
        <v>1240.45578696881</v>
      </c>
      <c r="W27" s="18" t="n">
        <f aca="false">W26*Annahmen!$B$17</f>
        <v>1286.228379793</v>
      </c>
      <c r="X27" s="18" t="n">
        <f aca="false">X26*Annahmen!$B$17</f>
        <v>1330.8877695038</v>
      </c>
      <c r="Y27" s="18" t="n">
        <f aca="false">Y26*Annahmen!$B$17</f>
        <v>1374.46215270119</v>
      </c>
    </row>
    <row r="28" customFormat="false" ht="15" hidden="false" customHeight="false" outlineLevel="0" collapsed="false">
      <c r="A28" s="8" t="s">
        <v>99</v>
      </c>
      <c r="B28" s="23" t="n">
        <f aca="false">B24+B25+B27</f>
        <v>548.5</v>
      </c>
      <c r="C28" s="23" t="n">
        <f aca="false">C24+C25+C27</f>
        <v>561.595</v>
      </c>
      <c r="D28" s="23" t="n">
        <f aca="false">D24+D25+D27</f>
        <v>574.29715</v>
      </c>
      <c r="E28" s="23" t="n">
        <f aca="false">E24+E25+E27</f>
        <v>586.6182355</v>
      </c>
      <c r="F28" s="23" t="n">
        <f aca="false">F24+F25+F27</f>
        <v>598.569688435</v>
      </c>
      <c r="G28" s="23" t="n">
        <f aca="false">G24+G25+G27</f>
        <v>610.16259778195</v>
      </c>
      <c r="H28" s="23" t="n">
        <f aca="false">H24+H25+H27</f>
        <v>837.407719848492</v>
      </c>
      <c r="I28" s="23" t="n">
        <f aca="false">I24+I25+I27</f>
        <v>883.460488253037</v>
      </c>
      <c r="J28" s="23" t="n">
        <f aca="false">J24+J25+J27</f>
        <v>928.352173605446</v>
      </c>
      <c r="K28" s="23" t="n">
        <f aca="false">K24+K25+K27</f>
        <v>972.113198397282</v>
      </c>
      <c r="L28" s="23" t="n">
        <f aca="false">L24+L25+L27</f>
        <v>1014.77316064536</v>
      </c>
      <c r="M28" s="23" t="n">
        <f aca="false">M24+M25+M27</f>
        <v>1056.360856862</v>
      </c>
      <c r="N28" s="23" t="n">
        <f aca="false">N24+N25+N27</f>
        <v>1185.55430437142</v>
      </c>
      <c r="O28" s="23" t="n">
        <f aca="false">O24+O25+O27</f>
        <v>1241.34376299125</v>
      </c>
      <c r="P28" s="23" t="n">
        <f aca="false">P24+P25+P27</f>
        <v>1295.76511609747</v>
      </c>
      <c r="Q28" s="23" t="n">
        <f aca="false">Q24+Q25+Q27</f>
        <v>1348.85329529058</v>
      </c>
      <c r="R28" s="23" t="n">
        <f aca="false">R24+R25+R27</f>
        <v>1400.64230645438</v>
      </c>
      <c r="S28" s="23" t="n">
        <f aca="false">S24+S25+S27</f>
        <v>1451.16525508281</v>
      </c>
      <c r="T28" s="23" t="n">
        <f aca="false">T24+T25+T27</f>
        <v>1500.45437089595</v>
      </c>
      <c r="U28" s="23" t="n">
        <f aca="false">U24+U25+U27</f>
        <v>1548.54103176539</v>
      </c>
      <c r="V28" s="23" t="n">
        <f aca="false">V24+V25+V27</f>
        <v>1595.45578696881</v>
      </c>
      <c r="W28" s="23" t="n">
        <f aca="false">W24+W25+W27</f>
        <v>1641.228379793</v>
      </c>
      <c r="X28" s="23" t="n">
        <f aca="false">X24+X25+X27</f>
        <v>1685.8877695038</v>
      </c>
      <c r="Y28" s="23" t="n">
        <f aca="false">Y24+Y25+Y27</f>
        <v>1729.46215270119</v>
      </c>
    </row>
    <row r="29" customFormat="false" ht="15" hidden="false" customHeight="false" outlineLevel="0" collapsed="false">
      <c r="A29" s="22" t="s">
        <v>194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customFormat="false" ht="15" hidden="false" customHeight="false" outlineLevel="0" collapsed="false">
      <c r="A30" s="8" t="s">
        <v>195</v>
      </c>
      <c r="B30" s="23" t="n">
        <f aca="false">B22-B28</f>
        <v>715</v>
      </c>
      <c r="C30" s="23" t="n">
        <f aca="false">C22-C28</f>
        <v>832.6</v>
      </c>
      <c r="D30" s="23" t="n">
        <f aca="false">D22-D28</f>
        <v>947.1463</v>
      </c>
      <c r="E30" s="23" t="n">
        <f aca="false">E22-E28</f>
        <v>1058.732032</v>
      </c>
      <c r="F30" s="23" t="n">
        <f aca="false">F22-F28</f>
        <v>1167.44726827</v>
      </c>
      <c r="G30" s="23" t="n">
        <f aca="false">G22-G28</f>
        <v>1273.379125822</v>
      </c>
      <c r="H30" s="23" t="n">
        <f aca="false">H22-H28</f>
        <v>2543.11186722014</v>
      </c>
      <c r="I30" s="23" t="n">
        <f aca="false">I22-I28</f>
        <v>2855.89699786017</v>
      </c>
      <c r="J30" s="23" t="n">
        <f aca="false">J22-J28</f>
        <v>3161.19825984456</v>
      </c>
      <c r="K30" s="23" t="n">
        <f aca="false">K22-K28</f>
        <v>3459.22288257515</v>
      </c>
      <c r="L30" s="23" t="n">
        <f aca="false">L22-L28</f>
        <v>3750.17179389049</v>
      </c>
      <c r="M30" s="23" t="n">
        <f aca="false">M22-M28</f>
        <v>4034.2398240443</v>
      </c>
      <c r="N30" s="23" t="n">
        <f aca="false">N22-N28</f>
        <v>4787.86590277616</v>
      </c>
      <c r="O30" s="23" t="n">
        <f aca="false">O22-O28</f>
        <v>5153.05824971668</v>
      </c>
      <c r="P30" s="23" t="n">
        <f aca="false">P22-P28</f>
        <v>5509.75237836068</v>
      </c>
      <c r="Q30" s="23" t="n">
        <f aca="false">Q22-Q28</f>
        <v>5858.17680063325</v>
      </c>
      <c r="R30" s="23" t="n">
        <f aca="false">R22-R28</f>
        <v>6198.55324969385</v>
      </c>
      <c r="S30" s="23" t="n">
        <f aca="false">S22-S28</f>
        <v>6531.09689528589</v>
      </c>
      <c r="T30" s="23" t="n">
        <f aca="false">T22-T28</f>
        <v>6856.01655189098</v>
      </c>
      <c r="U30" s="23" t="n">
        <f aca="false">U22-U28</f>
        <v>7173.51487993785</v>
      </c>
      <c r="V30" s="23" t="n">
        <f aca="false">V22-V28</f>
        <v>7483.78858030673</v>
      </c>
      <c r="W30" s="23" t="n">
        <f aca="false">W22-W28</f>
        <v>7787.02858236169</v>
      </c>
      <c r="X30" s="23" t="n">
        <f aca="false">X22-X28</f>
        <v>8083.42022573492</v>
      </c>
      <c r="Y30" s="23" t="n">
        <f aca="false">Y22-Y28</f>
        <v>8373.14343607887</v>
      </c>
    </row>
    <row r="31" customFormat="false" ht="15" hidden="false" customHeight="false" outlineLevel="0" collapsed="false">
      <c r="A31" s="8" t="s">
        <v>104</v>
      </c>
      <c r="B31" s="17" t="n">
        <f aca="false">0+B30</f>
        <v>715</v>
      </c>
      <c r="C31" s="17" t="n">
        <f aca="false">B31+C30</f>
        <v>1547.6</v>
      </c>
      <c r="D31" s="17" t="n">
        <f aca="false">C31+D30</f>
        <v>2494.7463</v>
      </c>
      <c r="E31" s="17" t="n">
        <f aca="false">D31+E30</f>
        <v>3553.478332</v>
      </c>
      <c r="F31" s="17" t="n">
        <f aca="false">E31+F30</f>
        <v>4720.92560027</v>
      </c>
      <c r="G31" s="17" t="n">
        <f aca="false">F31+G30</f>
        <v>5994.304726092</v>
      </c>
      <c r="H31" s="17" t="n">
        <f aca="false">G31+H30</f>
        <v>8537.41659331214</v>
      </c>
      <c r="I31" s="17" t="n">
        <f aca="false">H31+I30</f>
        <v>11393.3135911723</v>
      </c>
      <c r="J31" s="17" t="n">
        <f aca="false">I31+J30</f>
        <v>14554.5118510169</v>
      </c>
      <c r="K31" s="17" t="n">
        <f aca="false">J31+K30</f>
        <v>18013.734733592</v>
      </c>
      <c r="L31" s="17" t="n">
        <f aca="false">K31+L30</f>
        <v>21763.9065274825</v>
      </c>
      <c r="M31" s="17" t="n">
        <f aca="false">L31+M30</f>
        <v>25798.1463515268</v>
      </c>
      <c r="N31" s="17" t="n">
        <f aca="false">M31+N30</f>
        <v>30586.012254303</v>
      </c>
      <c r="O31" s="17" t="n">
        <f aca="false">N31+O30</f>
        <v>35739.0705040197</v>
      </c>
      <c r="P31" s="17" t="n">
        <f aca="false">O31+P30</f>
        <v>41248.8228823803</v>
      </c>
      <c r="Q31" s="17" t="n">
        <f aca="false">P31+Q30</f>
        <v>47106.9996830136</v>
      </c>
      <c r="R31" s="17" t="n">
        <f aca="false">Q31+R30</f>
        <v>53305.5529327074</v>
      </c>
      <c r="S31" s="17" t="n">
        <f aca="false">R31+S30</f>
        <v>59836.6498279933</v>
      </c>
      <c r="T31" s="17" t="n">
        <f aca="false">S31+T30</f>
        <v>66692.6663798843</v>
      </c>
      <c r="U31" s="17" t="n">
        <f aca="false">T31+U30</f>
        <v>73866.1812598221</v>
      </c>
      <c r="V31" s="17" t="n">
        <f aca="false">U31+V30</f>
        <v>81349.9698401289</v>
      </c>
      <c r="W31" s="17" t="n">
        <f aca="false">V31+W30</f>
        <v>89136.9984224906</v>
      </c>
      <c r="X31" s="17" t="n">
        <f aca="false">W31+X30</f>
        <v>97220.4186482255</v>
      </c>
      <c r="Y31" s="17" t="n">
        <f aca="false">X31+Y30</f>
        <v>105593.562084304</v>
      </c>
    </row>
    <row r="32" customFormat="false" ht="15" hidden="false" customHeight="false" outlineLevel="0" collapsed="false">
      <c r="A32" s="4" t="s">
        <v>196</v>
      </c>
      <c r="B32" s="11" t="n">
        <f aca="false">B6*Annahmen!$B$21+B12*Annahmen!$B$22+B13*Annahmen!$B$23+B14*Annahmen!$B$24+B11*Annahmen!$B$25</f>
        <v>10.875</v>
      </c>
      <c r="C32" s="11" t="n">
        <f aca="false">C6*Annahmen!$B$21+C12*Annahmen!$B$22+C13*Annahmen!$B$23+C14*Annahmen!$B$24+C11*Annahmen!$B$25</f>
        <v>11.72475</v>
      </c>
      <c r="D32" s="11" t="n">
        <f aca="false">D6*Annahmen!$B$21+D12*Annahmen!$B$22+D13*Annahmen!$B$23+D14*Annahmen!$B$24+D11*Annahmen!$B$25</f>
        <v>12.5500425</v>
      </c>
      <c r="E32" s="11" t="n">
        <f aca="false">E6*Annahmen!$B$21+E12*Annahmen!$B$22+E13*Annahmen!$B$23+E14*Annahmen!$B$24+E11*Annahmen!$B$25</f>
        <v>13.351644075</v>
      </c>
      <c r="F32" s="11" t="n">
        <f aca="false">F6*Annahmen!$B$21+F12*Annahmen!$B$22+F13*Annahmen!$B$23+F14*Annahmen!$B$24+F11*Annahmen!$B$25</f>
        <v>14.13029624625</v>
      </c>
      <c r="G32" s="11" t="n">
        <f aca="false">G6*Annahmen!$B$21+G12*Annahmen!$B$22+G13*Annahmen!$B$23+G14*Annahmen!$B$24+G11*Annahmen!$B$25</f>
        <v>14.8867163225475</v>
      </c>
      <c r="H32" s="11" t="n">
        <f aca="false">H6*Annahmen!$B$21+H12*Annahmen!$B$22+H13*Annahmen!$B$23+H14*Annahmen!$B$24+H11*Annahmen!$B$25</f>
        <v>27.2965982126344</v>
      </c>
      <c r="I32" s="11" t="n">
        <f aca="false">I6*Annahmen!$B$21+I12*Annahmen!$B$22+I13*Annahmen!$B$23+I14*Annahmen!$B$24+I11*Annahmen!$B$25</f>
        <v>29.6443632097077</v>
      </c>
      <c r="J32" s="11" t="n">
        <f aca="false">J6*Annahmen!$B$21+J12*Annahmen!$B$22+J13*Annahmen!$B$23+J14*Annahmen!$B$24+J11*Annahmen!$B$25</f>
        <v>31.9317732490214</v>
      </c>
      <c r="K32" s="11" t="n">
        <f aca="false">K6*Annahmen!$B$21+K12*Annahmen!$B$22+K13*Annahmen!$B$23+K14*Annahmen!$B$24+K11*Annahmen!$B$25</f>
        <v>34.1605368145233</v>
      </c>
      <c r="L32" s="11" t="n">
        <f aca="false">L6*Annahmen!$B$21+L12*Annahmen!$B$22+L13*Annahmen!$B$23+L14*Annahmen!$B$24+L11*Annahmen!$B$25</f>
        <v>36.332310644685</v>
      </c>
      <c r="M32" s="11" t="n">
        <f aca="false">M6*Annahmen!$B$21+M12*Annahmen!$B$22+M13*Annahmen!$B$23+M14*Annahmen!$B$24+M11*Annahmen!$B$25</f>
        <v>38.4487013816405</v>
      </c>
      <c r="N32" s="11" t="n">
        <f aca="false">N6*Annahmen!$B$21+N12*Annahmen!$B$22+N13*Annahmen!$B$23+N14*Annahmen!$B$24+N11*Annahmen!$B$25</f>
        <v>45.2612671655799</v>
      </c>
      <c r="O32" s="11" t="n">
        <f aca="false">O6*Annahmen!$B$21+O12*Annahmen!$B$22+O13*Annahmen!$B$23+O14*Annahmen!$B$24+O11*Annahmen!$B$25</f>
        <v>48.0034191762802</v>
      </c>
      <c r="P32" s="11" t="n">
        <f aca="false">P6*Annahmen!$B$21+P12*Annahmen!$B$22+P13*Annahmen!$B$23+P14*Annahmen!$B$24+P11*Annahmen!$B$25</f>
        <v>50.6771001235851</v>
      </c>
      <c r="Q32" s="11" t="n">
        <f aca="false">Q6*Annahmen!$B$21+Q12*Annahmen!$B$22+Q13*Annahmen!$B$23+Q14*Annahmen!$B$24+Q11*Annahmen!$B$25</f>
        <v>53.2841951185824</v>
      </c>
      <c r="R32" s="11" t="n">
        <f aca="false">R6*Annahmen!$B$21+R12*Annahmen!$B$22+R13*Annahmen!$B$23+R14*Annahmen!$B$24+R11*Annahmen!$B$25</f>
        <v>55.8265334796687</v>
      </c>
      <c r="S32" s="11" t="n">
        <f aca="false">S6*Annahmen!$B$21+S12*Annahmen!$B$22+S13*Annahmen!$B$23+S14*Annahmen!$B$24+S11*Annahmen!$B$25</f>
        <v>58.3058904793657</v>
      </c>
      <c r="T32" s="11" t="n">
        <f aca="false">T6*Annahmen!$B$21+T12*Annahmen!$B$22+T13*Annahmen!$B$23+T14*Annahmen!$B$24+T11*Annahmen!$B$25</f>
        <v>60.7239890339082</v>
      </c>
      <c r="U32" s="11" t="n">
        <f aca="false">U6*Annahmen!$B$21+U12*Annahmen!$B$22+U13*Annahmen!$B$23+U14*Annahmen!$B$24+U11*Annahmen!$B$25</f>
        <v>63.0825013375471</v>
      </c>
      <c r="V32" s="11" t="n">
        <f aca="false">V6*Annahmen!$B$21+V12*Annahmen!$B$22+V13*Annahmen!$B$23+V14*Annahmen!$B$24+V11*Annahmen!$B$25</f>
        <v>65.3830504434486</v>
      </c>
      <c r="W32" s="11" t="n">
        <f aca="false">W6*Annahmen!$B$21+W12*Annahmen!$B$22+W13*Annahmen!$B$23+W14*Annahmen!$B$24+W11*Annahmen!$B$25</f>
        <v>67.6272117929988</v>
      </c>
      <c r="X32" s="11" t="n">
        <f aca="false">X6*Annahmen!$B$21+X12*Annahmen!$B$22+X13*Annahmen!$B$23+X14*Annahmen!$B$24+X11*Annahmen!$B$25</f>
        <v>69.8165146952647</v>
      </c>
      <c r="Y32" s="11" t="n">
        <f aca="false">Y6*Annahmen!$B$21+Y12*Annahmen!$B$22+Y13*Annahmen!$B$23+Y14*Annahmen!$B$24+Y11*Annahmen!$B$25</f>
        <v>71.9524437582983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169</v>
      </c>
    </row>
    <row r="3" customFormat="false" ht="15" hidden="false" customHeight="false" outlineLevel="0" collapsed="false">
      <c r="A3" s="3" t="s">
        <v>170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22" t="s">
        <v>171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customFormat="false" ht="15" hidden="false" customHeight="false" outlineLevel="0" collapsed="false">
      <c r="A6" s="4" t="s">
        <v>172</v>
      </c>
      <c r="B6" s="7" t="n">
        <f aca="false">IF(B$3&lt;=6,Annahmen!$C$29,IF(B$3&lt;=12,Annahmen!$C$30,Annahmen!$C$31))</f>
        <v>0.8</v>
      </c>
      <c r="C6" s="7" t="n">
        <f aca="false">IF(C$3&lt;=6,Annahmen!$C$29,IF(C$3&lt;=12,Annahmen!$C$30,Annahmen!$C$31))</f>
        <v>0.8</v>
      </c>
      <c r="D6" s="7" t="n">
        <f aca="false">IF(D$3&lt;=6,Annahmen!$C$29,IF(D$3&lt;=12,Annahmen!$C$30,Annahmen!$C$31))</f>
        <v>0.8</v>
      </c>
      <c r="E6" s="7" t="n">
        <f aca="false">IF(E$3&lt;=6,Annahmen!$C$29,IF(E$3&lt;=12,Annahmen!$C$30,Annahmen!$C$31))</f>
        <v>0.8</v>
      </c>
      <c r="F6" s="7" t="n">
        <f aca="false">IF(F$3&lt;=6,Annahmen!$C$29,IF(F$3&lt;=12,Annahmen!$C$30,Annahmen!$C$31))</f>
        <v>0.8</v>
      </c>
      <c r="G6" s="7" t="n">
        <f aca="false">IF(G$3&lt;=6,Annahmen!$C$29,IF(G$3&lt;=12,Annahmen!$C$30,Annahmen!$C$31))</f>
        <v>0.8</v>
      </c>
      <c r="H6" s="7" t="n">
        <f aca="false">IF(H$3&lt;=6,Annahmen!$C$29,IF(H$3&lt;=12,Annahmen!$C$30,Annahmen!$C$31))</f>
        <v>1.3</v>
      </c>
      <c r="I6" s="7" t="n">
        <f aca="false">IF(I$3&lt;=6,Annahmen!$C$29,IF(I$3&lt;=12,Annahmen!$C$30,Annahmen!$C$31))</f>
        <v>1.3</v>
      </c>
      <c r="J6" s="7" t="n">
        <f aca="false">IF(J$3&lt;=6,Annahmen!$C$29,IF(J$3&lt;=12,Annahmen!$C$30,Annahmen!$C$31))</f>
        <v>1.3</v>
      </c>
      <c r="K6" s="7" t="n">
        <f aca="false">IF(K$3&lt;=6,Annahmen!$C$29,IF(K$3&lt;=12,Annahmen!$C$30,Annahmen!$C$31))</f>
        <v>1.3</v>
      </c>
      <c r="L6" s="7" t="n">
        <f aca="false">IF(L$3&lt;=6,Annahmen!$C$29,IF(L$3&lt;=12,Annahmen!$C$30,Annahmen!$C$31))</f>
        <v>1.3</v>
      </c>
      <c r="M6" s="7" t="n">
        <f aca="false">IF(M$3&lt;=6,Annahmen!$C$29,IF(M$3&lt;=12,Annahmen!$C$30,Annahmen!$C$31))</f>
        <v>1.3</v>
      </c>
      <c r="N6" s="7" t="n">
        <f aca="false">IF(N$3&lt;=6,Annahmen!$C$29,IF(N$3&lt;=12,Annahmen!$C$30,Annahmen!$C$31))</f>
        <v>1.6</v>
      </c>
      <c r="O6" s="7" t="n">
        <f aca="false">IF(O$3&lt;=6,Annahmen!$C$29,IF(O$3&lt;=12,Annahmen!$C$30,Annahmen!$C$31))</f>
        <v>1.6</v>
      </c>
      <c r="P6" s="7" t="n">
        <f aca="false">IF(P$3&lt;=6,Annahmen!$C$29,IF(P$3&lt;=12,Annahmen!$C$30,Annahmen!$C$31))</f>
        <v>1.6</v>
      </c>
      <c r="Q6" s="7" t="n">
        <f aca="false">IF(Q$3&lt;=6,Annahmen!$C$29,IF(Q$3&lt;=12,Annahmen!$C$30,Annahmen!$C$31))</f>
        <v>1.6</v>
      </c>
      <c r="R6" s="7" t="n">
        <f aca="false">IF(R$3&lt;=6,Annahmen!$C$29,IF(R$3&lt;=12,Annahmen!$C$30,Annahmen!$C$31))</f>
        <v>1.6</v>
      </c>
      <c r="S6" s="7" t="n">
        <f aca="false">IF(S$3&lt;=6,Annahmen!$C$29,IF(S$3&lt;=12,Annahmen!$C$30,Annahmen!$C$31))</f>
        <v>1.6</v>
      </c>
      <c r="T6" s="7" t="n">
        <f aca="false">IF(T$3&lt;=6,Annahmen!$C$29,IF(T$3&lt;=12,Annahmen!$C$30,Annahmen!$C$31))</f>
        <v>1.6</v>
      </c>
      <c r="U6" s="7" t="n">
        <f aca="false">IF(U$3&lt;=6,Annahmen!$C$29,IF(U$3&lt;=12,Annahmen!$C$30,Annahmen!$C$31))</f>
        <v>1.6</v>
      </c>
      <c r="V6" s="7" t="n">
        <f aca="false">IF(V$3&lt;=6,Annahmen!$C$29,IF(V$3&lt;=12,Annahmen!$C$30,Annahmen!$C$31))</f>
        <v>1.6</v>
      </c>
      <c r="W6" s="7" t="n">
        <f aca="false">IF(W$3&lt;=6,Annahmen!$C$29,IF(W$3&lt;=12,Annahmen!$C$30,Annahmen!$C$31))</f>
        <v>1.6</v>
      </c>
      <c r="X6" s="7" t="n">
        <f aca="false">IF(X$3&lt;=6,Annahmen!$C$29,IF(X$3&lt;=12,Annahmen!$C$30,Annahmen!$C$31))</f>
        <v>1.6</v>
      </c>
      <c r="Y6" s="7" t="n">
        <f aca="false">IF(Y$3&lt;=6,Annahmen!$C$29,IF(Y$3&lt;=12,Annahmen!$C$30,Annahmen!$C$31))</f>
        <v>1.6</v>
      </c>
    </row>
    <row r="7" customFormat="false" ht="15" hidden="false" customHeight="false" outlineLevel="0" collapsed="false">
      <c r="A7" s="4" t="s">
        <v>173</v>
      </c>
      <c r="B7" s="11" t="n">
        <f aca="false">B6*Annahmen!$C$32</f>
        <v>0.28</v>
      </c>
      <c r="C7" s="11" t="n">
        <f aca="false">C6*Annahmen!$C$32</f>
        <v>0.28</v>
      </c>
      <c r="D7" s="11" t="n">
        <f aca="false">D6*Annahmen!$C$32</f>
        <v>0.28</v>
      </c>
      <c r="E7" s="11" t="n">
        <f aca="false">E6*Annahmen!$C$32</f>
        <v>0.28</v>
      </c>
      <c r="F7" s="11" t="n">
        <f aca="false">F6*Annahmen!$C$32</f>
        <v>0.28</v>
      </c>
      <c r="G7" s="11" t="n">
        <f aca="false">G6*Annahmen!$C$32</f>
        <v>0.28</v>
      </c>
      <c r="H7" s="11" t="n">
        <f aca="false">H6*Annahmen!$C$32</f>
        <v>0.455</v>
      </c>
      <c r="I7" s="11" t="n">
        <f aca="false">I6*Annahmen!$C$32</f>
        <v>0.455</v>
      </c>
      <c r="J7" s="11" t="n">
        <f aca="false">J6*Annahmen!$C$32</f>
        <v>0.455</v>
      </c>
      <c r="K7" s="11" t="n">
        <f aca="false">K6*Annahmen!$C$32</f>
        <v>0.455</v>
      </c>
      <c r="L7" s="11" t="n">
        <f aca="false">L6*Annahmen!$C$32</f>
        <v>0.455</v>
      </c>
      <c r="M7" s="11" t="n">
        <f aca="false">M6*Annahmen!$C$32</f>
        <v>0.455</v>
      </c>
      <c r="N7" s="11" t="n">
        <f aca="false">N6*Annahmen!$C$32</f>
        <v>0.56</v>
      </c>
      <c r="O7" s="11" t="n">
        <f aca="false">O6*Annahmen!$C$32</f>
        <v>0.56</v>
      </c>
      <c r="P7" s="11" t="n">
        <f aca="false">P6*Annahmen!$C$32</f>
        <v>0.56</v>
      </c>
      <c r="Q7" s="11" t="n">
        <f aca="false">Q6*Annahmen!$C$32</f>
        <v>0.56</v>
      </c>
      <c r="R7" s="11" t="n">
        <f aca="false">R6*Annahmen!$C$32</f>
        <v>0.56</v>
      </c>
      <c r="S7" s="11" t="n">
        <f aca="false">S6*Annahmen!$C$32</f>
        <v>0.56</v>
      </c>
      <c r="T7" s="11" t="n">
        <f aca="false">T6*Annahmen!$C$32</f>
        <v>0.56</v>
      </c>
      <c r="U7" s="11" t="n">
        <f aca="false">U6*Annahmen!$C$32</f>
        <v>0.56</v>
      </c>
      <c r="V7" s="11" t="n">
        <f aca="false">V6*Annahmen!$C$32</f>
        <v>0.56</v>
      </c>
      <c r="W7" s="11" t="n">
        <f aca="false">W6*Annahmen!$C$32</f>
        <v>0.56</v>
      </c>
      <c r="X7" s="11" t="n">
        <f aca="false">X6*Annahmen!$C$32</f>
        <v>0.56</v>
      </c>
      <c r="Y7" s="11" t="n">
        <f aca="false">Y6*Annahmen!$C$32</f>
        <v>0.56</v>
      </c>
    </row>
    <row r="8" customFormat="false" ht="15" hidden="false" customHeight="false" outlineLevel="0" collapsed="false">
      <c r="A8" s="4" t="s">
        <v>174</v>
      </c>
      <c r="B8" s="11" t="n">
        <f aca="false">B6*Annahmen!$C$33</f>
        <v>0.16</v>
      </c>
      <c r="C8" s="11" t="n">
        <f aca="false">C6*Annahmen!$C$33</f>
        <v>0.16</v>
      </c>
      <c r="D8" s="11" t="n">
        <f aca="false">D6*Annahmen!$C$33</f>
        <v>0.16</v>
      </c>
      <c r="E8" s="11" t="n">
        <f aca="false">E6*Annahmen!$C$33</f>
        <v>0.16</v>
      </c>
      <c r="F8" s="11" t="n">
        <f aca="false">F6*Annahmen!$C$33</f>
        <v>0.16</v>
      </c>
      <c r="G8" s="11" t="n">
        <f aca="false">G6*Annahmen!$C$33</f>
        <v>0.16</v>
      </c>
      <c r="H8" s="11" t="n">
        <f aca="false">H6*Annahmen!$C$33</f>
        <v>0.26</v>
      </c>
      <c r="I8" s="11" t="n">
        <f aca="false">I6*Annahmen!$C$33</f>
        <v>0.26</v>
      </c>
      <c r="J8" s="11" t="n">
        <f aca="false">J6*Annahmen!$C$33</f>
        <v>0.26</v>
      </c>
      <c r="K8" s="11" t="n">
        <f aca="false">K6*Annahmen!$C$33</f>
        <v>0.26</v>
      </c>
      <c r="L8" s="11" t="n">
        <f aca="false">L6*Annahmen!$C$33</f>
        <v>0.26</v>
      </c>
      <c r="M8" s="11" t="n">
        <f aca="false">M6*Annahmen!$C$33</f>
        <v>0.26</v>
      </c>
      <c r="N8" s="11" t="n">
        <f aca="false">N6*Annahmen!$C$33</f>
        <v>0.32</v>
      </c>
      <c r="O8" s="11" t="n">
        <f aca="false">O6*Annahmen!$C$33</f>
        <v>0.32</v>
      </c>
      <c r="P8" s="11" t="n">
        <f aca="false">P6*Annahmen!$C$33</f>
        <v>0.32</v>
      </c>
      <c r="Q8" s="11" t="n">
        <f aca="false">Q6*Annahmen!$C$33</f>
        <v>0.32</v>
      </c>
      <c r="R8" s="11" t="n">
        <f aca="false">R6*Annahmen!$C$33</f>
        <v>0.32</v>
      </c>
      <c r="S8" s="11" t="n">
        <f aca="false">S6*Annahmen!$C$33</f>
        <v>0.32</v>
      </c>
      <c r="T8" s="11" t="n">
        <f aca="false">T6*Annahmen!$C$33</f>
        <v>0.32</v>
      </c>
      <c r="U8" s="11" t="n">
        <f aca="false">U6*Annahmen!$C$33</f>
        <v>0.32</v>
      </c>
      <c r="V8" s="11" t="n">
        <f aca="false">V6*Annahmen!$C$33</f>
        <v>0.32</v>
      </c>
      <c r="W8" s="11" t="n">
        <f aca="false">W6*Annahmen!$C$33</f>
        <v>0.32</v>
      </c>
      <c r="X8" s="11" t="n">
        <f aca="false">X6*Annahmen!$C$33</f>
        <v>0.32</v>
      </c>
      <c r="Y8" s="11" t="n">
        <f aca="false">Y6*Annahmen!$C$33</f>
        <v>0.32</v>
      </c>
    </row>
    <row r="9" customFormat="false" ht="15" hidden="false" customHeight="false" outlineLevel="0" collapsed="false">
      <c r="A9" s="4" t="s">
        <v>175</v>
      </c>
      <c r="B9" s="7" t="n">
        <f aca="false">IF(B$3&lt;=6,Annahmen!$C$34,IF(B$3&lt;=12,Annahmen!$C$35,Annahmen!$C$36))</f>
        <v>0</v>
      </c>
      <c r="C9" s="7" t="n">
        <f aca="false">IF(C$3&lt;=6,Annahmen!$C$34,IF(C$3&lt;=12,Annahmen!$C$35,Annahmen!$C$36))</f>
        <v>0</v>
      </c>
      <c r="D9" s="7" t="n">
        <f aca="false">IF(D$3&lt;=6,Annahmen!$C$34,IF(D$3&lt;=12,Annahmen!$C$35,Annahmen!$C$36))</f>
        <v>0</v>
      </c>
      <c r="E9" s="7" t="n">
        <f aca="false">IF(E$3&lt;=6,Annahmen!$C$34,IF(E$3&lt;=12,Annahmen!$C$35,Annahmen!$C$36))</f>
        <v>0</v>
      </c>
      <c r="F9" s="7" t="n">
        <f aca="false">IF(F$3&lt;=6,Annahmen!$C$34,IF(F$3&lt;=12,Annahmen!$C$35,Annahmen!$C$36))</f>
        <v>0</v>
      </c>
      <c r="G9" s="7" t="n">
        <f aca="false">IF(G$3&lt;=6,Annahmen!$C$34,IF(G$3&lt;=12,Annahmen!$C$35,Annahmen!$C$36))</f>
        <v>0</v>
      </c>
      <c r="H9" s="7" t="n">
        <f aca="false">IF(H$3&lt;=6,Annahmen!$C$34,IF(H$3&lt;=12,Annahmen!$C$35,Annahmen!$C$36))</f>
        <v>0.15</v>
      </c>
      <c r="I9" s="7" t="n">
        <f aca="false">IF(I$3&lt;=6,Annahmen!$C$34,IF(I$3&lt;=12,Annahmen!$C$35,Annahmen!$C$36))</f>
        <v>0.15</v>
      </c>
      <c r="J9" s="7" t="n">
        <f aca="false">IF(J$3&lt;=6,Annahmen!$C$34,IF(J$3&lt;=12,Annahmen!$C$35,Annahmen!$C$36))</f>
        <v>0.15</v>
      </c>
      <c r="K9" s="7" t="n">
        <f aca="false">IF(K$3&lt;=6,Annahmen!$C$34,IF(K$3&lt;=12,Annahmen!$C$35,Annahmen!$C$36))</f>
        <v>0.15</v>
      </c>
      <c r="L9" s="7" t="n">
        <f aca="false">IF(L$3&lt;=6,Annahmen!$C$34,IF(L$3&lt;=12,Annahmen!$C$35,Annahmen!$C$36))</f>
        <v>0.15</v>
      </c>
      <c r="M9" s="7" t="n">
        <f aca="false">IF(M$3&lt;=6,Annahmen!$C$34,IF(M$3&lt;=12,Annahmen!$C$35,Annahmen!$C$36))</f>
        <v>0.15</v>
      </c>
      <c r="N9" s="7" t="n">
        <f aca="false">IF(N$3&lt;=6,Annahmen!$C$34,IF(N$3&lt;=12,Annahmen!$C$35,Annahmen!$C$36))</f>
        <v>0.25</v>
      </c>
      <c r="O9" s="7" t="n">
        <f aca="false">IF(O$3&lt;=6,Annahmen!$C$34,IF(O$3&lt;=12,Annahmen!$C$35,Annahmen!$C$36))</f>
        <v>0.25</v>
      </c>
      <c r="P9" s="7" t="n">
        <f aca="false">IF(P$3&lt;=6,Annahmen!$C$34,IF(P$3&lt;=12,Annahmen!$C$35,Annahmen!$C$36))</f>
        <v>0.25</v>
      </c>
      <c r="Q9" s="7" t="n">
        <f aca="false">IF(Q$3&lt;=6,Annahmen!$C$34,IF(Q$3&lt;=12,Annahmen!$C$35,Annahmen!$C$36))</f>
        <v>0.25</v>
      </c>
      <c r="R9" s="7" t="n">
        <f aca="false">IF(R$3&lt;=6,Annahmen!$C$34,IF(R$3&lt;=12,Annahmen!$C$35,Annahmen!$C$36))</f>
        <v>0.25</v>
      </c>
      <c r="S9" s="7" t="n">
        <f aca="false">IF(S$3&lt;=6,Annahmen!$C$34,IF(S$3&lt;=12,Annahmen!$C$35,Annahmen!$C$36))</f>
        <v>0.25</v>
      </c>
      <c r="T9" s="7" t="n">
        <f aca="false">IF(T$3&lt;=6,Annahmen!$C$34,IF(T$3&lt;=12,Annahmen!$C$35,Annahmen!$C$36))</f>
        <v>0.25</v>
      </c>
      <c r="U9" s="7" t="n">
        <f aca="false">IF(U$3&lt;=6,Annahmen!$C$34,IF(U$3&lt;=12,Annahmen!$C$35,Annahmen!$C$36))</f>
        <v>0.25</v>
      </c>
      <c r="V9" s="7" t="n">
        <f aca="false">IF(V$3&lt;=6,Annahmen!$C$34,IF(V$3&lt;=12,Annahmen!$C$35,Annahmen!$C$36))</f>
        <v>0.25</v>
      </c>
      <c r="W9" s="7" t="n">
        <f aca="false">IF(W$3&lt;=6,Annahmen!$C$34,IF(W$3&lt;=12,Annahmen!$C$35,Annahmen!$C$36))</f>
        <v>0.25</v>
      </c>
      <c r="X9" s="7" t="n">
        <f aca="false">IF(X$3&lt;=6,Annahmen!$C$34,IF(X$3&lt;=12,Annahmen!$C$35,Annahmen!$C$36))</f>
        <v>0.25</v>
      </c>
      <c r="Y9" s="7" t="n">
        <f aca="false">IF(Y$3&lt;=6,Annahmen!$C$34,IF(Y$3&lt;=12,Annahmen!$C$35,Annahmen!$C$36))</f>
        <v>0.25</v>
      </c>
    </row>
    <row r="10" customFormat="false" ht="15" hidden="false" customHeight="false" outlineLevel="0" collapsed="false">
      <c r="A10" s="22" t="s">
        <v>176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customFormat="false" ht="15" hidden="false" customHeight="false" outlineLevel="0" collapsed="false">
      <c r="A11" s="4" t="s">
        <v>177</v>
      </c>
      <c r="B11" s="11" t="n">
        <f aca="false">0*(1-Annahmen!$B$11)+B6</f>
        <v>0.8</v>
      </c>
      <c r="C11" s="11" t="n">
        <f aca="false">B11*(1-Annahmen!$B$11)+C6</f>
        <v>1.592</v>
      </c>
      <c r="D11" s="11" t="n">
        <f aca="false">C11*(1-Annahmen!$B$11)+D6</f>
        <v>2.37608</v>
      </c>
      <c r="E11" s="11" t="n">
        <f aca="false">D11*(1-Annahmen!$B$11)+E6</f>
        <v>3.1523192</v>
      </c>
      <c r="F11" s="11" t="n">
        <f aca="false">E11*(1-Annahmen!$B$11)+F6</f>
        <v>3.920796008</v>
      </c>
      <c r="G11" s="11" t="n">
        <f aca="false">F11*(1-Annahmen!$B$11)+G6</f>
        <v>4.68158804792</v>
      </c>
      <c r="H11" s="11" t="n">
        <f aca="false">G11*(1-Annahmen!$B$11)+H6</f>
        <v>5.9347721674408</v>
      </c>
      <c r="I11" s="11" t="n">
        <f aca="false">H11*(1-Annahmen!$B$11)+I6</f>
        <v>7.17542444576639</v>
      </c>
      <c r="J11" s="11" t="n">
        <f aca="false">I11*(1-Annahmen!$B$11)+J6</f>
        <v>8.40367020130873</v>
      </c>
      <c r="K11" s="11" t="n">
        <f aca="false">J11*(1-Annahmen!$B$11)+K6</f>
        <v>9.61963349929564</v>
      </c>
      <c r="L11" s="11" t="n">
        <f aca="false">K11*(1-Annahmen!$B$11)+L6</f>
        <v>10.8234371643027</v>
      </c>
      <c r="M11" s="11" t="n">
        <f aca="false">L11*(1-Annahmen!$B$11)+M6</f>
        <v>12.0152027926597</v>
      </c>
      <c r="N11" s="11" t="n">
        <f aca="false">M11*(1-Annahmen!$B$11)+N6</f>
        <v>13.4950507647331</v>
      </c>
      <c r="O11" s="11" t="n">
        <f aca="false">N11*(1-Annahmen!$B$11)+O6</f>
        <v>14.9601002570857</v>
      </c>
      <c r="P11" s="11" t="n">
        <f aca="false">O11*(1-Annahmen!$B$11)+P6</f>
        <v>16.4104992545149</v>
      </c>
      <c r="Q11" s="11" t="n">
        <f aca="false">P11*(1-Annahmen!$B$11)+Q6</f>
        <v>17.8463942619697</v>
      </c>
      <c r="R11" s="11" t="n">
        <f aca="false">Q11*(1-Annahmen!$B$11)+R6</f>
        <v>19.26793031935</v>
      </c>
      <c r="S11" s="11" t="n">
        <f aca="false">R11*(1-Annahmen!$B$11)+S6</f>
        <v>20.6752510161565</v>
      </c>
      <c r="T11" s="11" t="n">
        <f aca="false">S11*(1-Annahmen!$B$11)+T6</f>
        <v>22.068498505995</v>
      </c>
      <c r="U11" s="11" t="n">
        <f aca="false">T11*(1-Annahmen!$B$11)+U6</f>
        <v>23.447813520935</v>
      </c>
      <c r="V11" s="11" t="n">
        <f aca="false">U11*(1-Annahmen!$B$11)+V6</f>
        <v>24.8133353857257</v>
      </c>
      <c r="W11" s="11" t="n">
        <f aca="false">V11*(1-Annahmen!$B$11)+W6</f>
        <v>26.1652020318684</v>
      </c>
      <c r="X11" s="11" t="n">
        <f aca="false">W11*(1-Annahmen!$B$11)+X6</f>
        <v>27.5035500115497</v>
      </c>
      <c r="Y11" s="11" t="n">
        <f aca="false">X11*(1-Annahmen!$B$11)+Y6</f>
        <v>28.8285145114342</v>
      </c>
    </row>
    <row r="12" customFormat="false" ht="15" hidden="false" customHeight="false" outlineLevel="0" collapsed="false">
      <c r="A12" s="4" t="s">
        <v>178</v>
      </c>
      <c r="B12" s="11" t="n">
        <f aca="false">0*(1-Annahmen!$B$12)+B7</f>
        <v>0.28</v>
      </c>
      <c r="C12" s="11" t="n">
        <f aca="false">B12*(1-Annahmen!$B$12)+C7</f>
        <v>0.5516</v>
      </c>
      <c r="D12" s="11" t="n">
        <f aca="false">C12*(1-Annahmen!$B$12)+D7</f>
        <v>0.815052</v>
      </c>
      <c r="E12" s="11" t="n">
        <f aca="false">D12*(1-Annahmen!$B$12)+E7</f>
        <v>1.07060044</v>
      </c>
      <c r="F12" s="11" t="n">
        <f aca="false">E12*(1-Annahmen!$B$12)+F7</f>
        <v>1.3184824268</v>
      </c>
      <c r="G12" s="11" t="n">
        <f aca="false">F12*(1-Annahmen!$B$12)+G7</f>
        <v>1.558927953996</v>
      </c>
      <c r="H12" s="11" t="n">
        <f aca="false">G12*(1-Annahmen!$B$12)+H7</f>
        <v>1.96716011537612</v>
      </c>
      <c r="I12" s="11" t="n">
        <f aca="false">H12*(1-Annahmen!$B$12)+I7</f>
        <v>2.36314531191484</v>
      </c>
      <c r="J12" s="11" t="n">
        <f aca="false">I12*(1-Annahmen!$B$12)+J7</f>
        <v>2.74725095255739</v>
      </c>
      <c r="K12" s="11" t="n">
        <f aca="false">J12*(1-Annahmen!$B$12)+K7</f>
        <v>3.11983342398067</v>
      </c>
      <c r="L12" s="11" t="n">
        <f aca="false">K12*(1-Annahmen!$B$12)+L7</f>
        <v>3.48123842126125</v>
      </c>
      <c r="M12" s="11" t="n">
        <f aca="false">L12*(1-Annahmen!$B$12)+M7</f>
        <v>3.83180126862341</v>
      </c>
      <c r="N12" s="11" t="n">
        <f aca="false">M12*(1-Annahmen!$B$12)+N7</f>
        <v>4.27684723056471</v>
      </c>
      <c r="O12" s="11" t="n">
        <f aca="false">N12*(1-Annahmen!$B$12)+O7</f>
        <v>4.70854181364777</v>
      </c>
      <c r="P12" s="11" t="n">
        <f aca="false">O12*(1-Annahmen!$B$12)+P7</f>
        <v>5.12728555923833</v>
      </c>
      <c r="Q12" s="11" t="n">
        <f aca="false">P12*(1-Annahmen!$B$12)+Q7</f>
        <v>5.53346699246118</v>
      </c>
      <c r="R12" s="11" t="n">
        <f aca="false">Q12*(1-Annahmen!$B$12)+R7</f>
        <v>5.92746298268735</v>
      </c>
      <c r="S12" s="11" t="n">
        <f aca="false">R12*(1-Annahmen!$B$12)+S7</f>
        <v>6.30963909320673</v>
      </c>
      <c r="T12" s="11" t="n">
        <f aca="false">S12*(1-Annahmen!$B$12)+T7</f>
        <v>6.68034992041052</v>
      </c>
      <c r="U12" s="11" t="n">
        <f aca="false">T12*(1-Annahmen!$B$12)+U7</f>
        <v>7.03993942279821</v>
      </c>
      <c r="V12" s="11" t="n">
        <f aca="false">U12*(1-Annahmen!$B$12)+V7</f>
        <v>7.38874124011426</v>
      </c>
      <c r="W12" s="11" t="n">
        <f aca="false">V12*(1-Annahmen!$B$12)+W7</f>
        <v>7.72707900291083</v>
      </c>
      <c r="X12" s="11" t="n">
        <f aca="false">W12*(1-Annahmen!$B$12)+X7</f>
        <v>8.05526663282351</v>
      </c>
      <c r="Y12" s="11" t="n">
        <f aca="false">X12*(1-Annahmen!$B$12)+Y7</f>
        <v>8.3736086338388</v>
      </c>
    </row>
    <row r="13" customFormat="false" ht="15" hidden="false" customHeight="false" outlineLevel="0" collapsed="false">
      <c r="A13" s="4" t="s">
        <v>179</v>
      </c>
      <c r="B13" s="11" t="n">
        <f aca="false">0*(1-Annahmen!$B$13)+B8</f>
        <v>0.16</v>
      </c>
      <c r="C13" s="11" t="n">
        <f aca="false">B13*(1-Annahmen!$B$13)+C8</f>
        <v>0.3136</v>
      </c>
      <c r="D13" s="11" t="n">
        <f aca="false">C13*(1-Annahmen!$B$13)+D8</f>
        <v>0.461056</v>
      </c>
      <c r="E13" s="11" t="n">
        <f aca="false">D13*(1-Annahmen!$B$13)+E8</f>
        <v>0.60261376</v>
      </c>
      <c r="F13" s="11" t="n">
        <f aca="false">E13*(1-Annahmen!$B$13)+F8</f>
        <v>0.7385092096</v>
      </c>
      <c r="G13" s="11" t="n">
        <f aca="false">F13*(1-Annahmen!$B$13)+G8</f>
        <v>0.868968841216</v>
      </c>
      <c r="H13" s="11" t="n">
        <f aca="false">G13*(1-Annahmen!$B$13)+H8</f>
        <v>1.09421008756736</v>
      </c>
      <c r="I13" s="11" t="n">
        <f aca="false">H13*(1-Annahmen!$B$13)+I8</f>
        <v>1.31044168406467</v>
      </c>
      <c r="J13" s="11" t="n">
        <f aca="false">I13*(1-Annahmen!$B$13)+J8</f>
        <v>1.51802401670208</v>
      </c>
      <c r="K13" s="11" t="n">
        <f aca="false">J13*(1-Annahmen!$B$13)+K8</f>
        <v>1.717303056034</v>
      </c>
      <c r="L13" s="11" t="n">
        <f aca="false">K13*(1-Annahmen!$B$13)+L8</f>
        <v>1.90861093379264</v>
      </c>
      <c r="M13" s="11" t="n">
        <f aca="false">L13*(1-Annahmen!$B$13)+M8</f>
        <v>2.09226649644093</v>
      </c>
      <c r="N13" s="11" t="n">
        <f aca="false">M13*(1-Annahmen!$B$13)+N8</f>
        <v>2.32857583658329</v>
      </c>
      <c r="O13" s="11" t="n">
        <f aca="false">N13*(1-Annahmen!$B$13)+O8</f>
        <v>2.55543280311996</v>
      </c>
      <c r="P13" s="11" t="n">
        <f aca="false">O13*(1-Annahmen!$B$13)+P8</f>
        <v>2.77321549099516</v>
      </c>
      <c r="Q13" s="11" t="n">
        <f aca="false">P13*(1-Annahmen!$B$13)+Q8</f>
        <v>2.98228687135536</v>
      </c>
      <c r="R13" s="11" t="n">
        <f aca="false">Q13*(1-Annahmen!$B$13)+R8</f>
        <v>3.18299539650114</v>
      </c>
      <c r="S13" s="11" t="n">
        <f aca="false">R13*(1-Annahmen!$B$13)+S8</f>
        <v>3.3756755806411</v>
      </c>
      <c r="T13" s="11" t="n">
        <f aca="false">S13*(1-Annahmen!$B$13)+T8</f>
        <v>3.56064855741545</v>
      </c>
      <c r="U13" s="11" t="n">
        <f aca="false">T13*(1-Annahmen!$B$13)+U8</f>
        <v>3.73822261511883</v>
      </c>
      <c r="V13" s="11" t="n">
        <f aca="false">U13*(1-Annahmen!$B$13)+V8</f>
        <v>3.90869371051408</v>
      </c>
      <c r="W13" s="11" t="n">
        <f aca="false">V13*(1-Annahmen!$B$13)+W8</f>
        <v>4.07234596209352</v>
      </c>
      <c r="X13" s="11" t="n">
        <f aca="false">W13*(1-Annahmen!$B$13)+X8</f>
        <v>4.22945212360978</v>
      </c>
      <c r="Y13" s="11" t="n">
        <f aca="false">X13*(1-Annahmen!$B$13)+Y8</f>
        <v>4.38027403866539</v>
      </c>
    </row>
    <row r="14" customFormat="false" ht="15" hidden="false" customHeight="false" outlineLevel="0" collapsed="false">
      <c r="A14" s="4" t="s">
        <v>180</v>
      </c>
      <c r="B14" s="11" t="n">
        <f aca="false">0*(1-Annahmen!$B$14)+B9</f>
        <v>0</v>
      </c>
      <c r="C14" s="11" t="n">
        <f aca="false">B14*(1-Annahmen!$B$14)+C9</f>
        <v>0</v>
      </c>
      <c r="D14" s="11" t="n">
        <f aca="false">C14*(1-Annahmen!$B$14)+D9</f>
        <v>0</v>
      </c>
      <c r="E14" s="11" t="n">
        <f aca="false">D14*(1-Annahmen!$B$14)+E9</f>
        <v>0</v>
      </c>
      <c r="F14" s="11" t="n">
        <f aca="false">E14*(1-Annahmen!$B$14)+F9</f>
        <v>0</v>
      </c>
      <c r="G14" s="11" t="n">
        <f aca="false">F14*(1-Annahmen!$B$14)+G9</f>
        <v>0</v>
      </c>
      <c r="H14" s="11" t="n">
        <f aca="false">G14*(1-Annahmen!$B$14)+H9</f>
        <v>0.15</v>
      </c>
      <c r="I14" s="11" t="n">
        <f aca="false">H14*(1-Annahmen!$B$14)+I9</f>
        <v>0.297</v>
      </c>
      <c r="J14" s="11" t="n">
        <f aca="false">I14*(1-Annahmen!$B$14)+J9</f>
        <v>0.44106</v>
      </c>
      <c r="K14" s="11" t="n">
        <f aca="false">J14*(1-Annahmen!$B$14)+K9</f>
        <v>0.5822388</v>
      </c>
      <c r="L14" s="11" t="n">
        <f aca="false">K14*(1-Annahmen!$B$14)+L9</f>
        <v>0.720594024</v>
      </c>
      <c r="M14" s="11" t="n">
        <f aca="false">L14*(1-Annahmen!$B$14)+M9</f>
        <v>0.85618214352</v>
      </c>
      <c r="N14" s="11" t="n">
        <f aca="false">M14*(1-Annahmen!$B$14)+N9</f>
        <v>1.0890585006496</v>
      </c>
      <c r="O14" s="11" t="n">
        <f aca="false">N14*(1-Annahmen!$B$14)+O9</f>
        <v>1.31727733063661</v>
      </c>
      <c r="P14" s="11" t="n">
        <f aca="false">O14*(1-Annahmen!$B$14)+P9</f>
        <v>1.54093178402388</v>
      </c>
      <c r="Q14" s="11" t="n">
        <f aca="false">P14*(1-Annahmen!$B$14)+Q9</f>
        <v>1.7601131483434</v>
      </c>
      <c r="R14" s="11" t="n">
        <f aca="false">Q14*(1-Annahmen!$B$14)+R9</f>
        <v>1.97491088537653</v>
      </c>
      <c r="S14" s="11" t="n">
        <f aca="false">R14*(1-Annahmen!$B$14)+S9</f>
        <v>2.185412667669</v>
      </c>
      <c r="T14" s="11" t="n">
        <f aca="false">S14*(1-Annahmen!$B$14)+T9</f>
        <v>2.39170441431562</v>
      </c>
      <c r="U14" s="11" t="n">
        <f aca="false">T14*(1-Annahmen!$B$14)+U9</f>
        <v>2.59387032602931</v>
      </c>
      <c r="V14" s="11" t="n">
        <f aca="false">U14*(1-Annahmen!$B$14)+V9</f>
        <v>2.79199291950872</v>
      </c>
      <c r="W14" s="11" t="n">
        <f aca="false">V14*(1-Annahmen!$B$14)+W9</f>
        <v>2.98615306111855</v>
      </c>
      <c r="X14" s="11" t="n">
        <f aca="false">W14*(1-Annahmen!$B$14)+X9</f>
        <v>3.17642999989618</v>
      </c>
      <c r="Y14" s="11" t="n">
        <f aca="false">X14*(1-Annahmen!$B$14)+Y9</f>
        <v>3.36290139989825</v>
      </c>
    </row>
    <row r="15" customFormat="false" ht="15" hidden="false" customHeight="false" outlineLevel="0" collapsed="false">
      <c r="A15" s="22" t="s">
        <v>181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customFormat="false" ht="15" hidden="false" customHeight="false" outlineLevel="0" collapsed="false">
      <c r="A16" s="4" t="s">
        <v>182</v>
      </c>
      <c r="B16" s="18" t="n">
        <f aca="false">B11*Annahmen!$B$6</f>
        <v>55.2</v>
      </c>
      <c r="C16" s="18" t="n">
        <f aca="false">C11*Annahmen!$B$6</f>
        <v>109.848</v>
      </c>
      <c r="D16" s="18" t="n">
        <f aca="false">D11*Annahmen!$B$6</f>
        <v>163.94952</v>
      </c>
      <c r="E16" s="18" t="n">
        <f aca="false">E11*Annahmen!$B$6</f>
        <v>217.5100248</v>
      </c>
      <c r="F16" s="18" t="n">
        <f aca="false">F11*Annahmen!$B$6</f>
        <v>270.534924552</v>
      </c>
      <c r="G16" s="18" t="n">
        <f aca="false">G11*Annahmen!$B$6</f>
        <v>323.02957530648</v>
      </c>
      <c r="H16" s="18" t="n">
        <f aca="false">H11*Annahmen!$B$6</f>
        <v>409.499279553415</v>
      </c>
      <c r="I16" s="18" t="n">
        <f aca="false">I11*Annahmen!$B$6</f>
        <v>495.104286757881</v>
      </c>
      <c r="J16" s="18" t="n">
        <f aca="false">J11*Annahmen!$B$6</f>
        <v>579.853243890302</v>
      </c>
      <c r="K16" s="18" t="n">
        <f aca="false">K11*Annahmen!$B$6</f>
        <v>663.754711451399</v>
      </c>
      <c r="L16" s="18" t="n">
        <f aca="false">L11*Annahmen!$B$6</f>
        <v>746.817164336885</v>
      </c>
      <c r="M16" s="18" t="n">
        <f aca="false">M11*Annahmen!$B$6</f>
        <v>829.048992693517</v>
      </c>
      <c r="N16" s="18" t="n">
        <f aca="false">N11*Annahmen!$B$6</f>
        <v>931.158502766581</v>
      </c>
      <c r="O16" s="18" t="n">
        <f aca="false">O11*Annahmen!$B$6</f>
        <v>1032.24691773892</v>
      </c>
      <c r="P16" s="18" t="n">
        <f aca="false">P11*Annahmen!$B$6</f>
        <v>1132.32444856153</v>
      </c>
      <c r="Q16" s="18" t="n">
        <f aca="false">Q11*Annahmen!$B$6</f>
        <v>1231.40120407591</v>
      </c>
      <c r="R16" s="18" t="n">
        <f aca="false">R11*Annahmen!$B$6</f>
        <v>1329.48719203515</v>
      </c>
      <c r="S16" s="18" t="n">
        <f aca="false">S11*Annahmen!$B$6</f>
        <v>1426.5923201148</v>
      </c>
      <c r="T16" s="18" t="n">
        <f aca="false">T11*Annahmen!$B$6</f>
        <v>1522.72639691365</v>
      </c>
      <c r="U16" s="18" t="n">
        <f aca="false">U11*Annahmen!$B$6</f>
        <v>1617.89913294452</v>
      </c>
      <c r="V16" s="18" t="n">
        <f aca="false">V11*Annahmen!$B$6</f>
        <v>1712.12014161507</v>
      </c>
      <c r="W16" s="18" t="n">
        <f aca="false">W11*Annahmen!$B$6</f>
        <v>1805.39894019892</v>
      </c>
      <c r="X16" s="18" t="n">
        <f aca="false">X11*Annahmen!$B$6</f>
        <v>1897.74495079693</v>
      </c>
      <c r="Y16" s="18" t="n">
        <f aca="false">Y11*Annahmen!$B$6</f>
        <v>1989.16750128896</v>
      </c>
    </row>
    <row r="17" customFormat="false" ht="15" hidden="false" customHeight="false" outlineLevel="0" collapsed="false">
      <c r="A17" s="4" t="s">
        <v>183</v>
      </c>
      <c r="B17" s="18" t="n">
        <f aca="false">B12*Annahmen!$B$7</f>
        <v>145.6</v>
      </c>
      <c r="C17" s="18" t="n">
        <f aca="false">C12*Annahmen!$B$7</f>
        <v>286.832</v>
      </c>
      <c r="D17" s="18" t="n">
        <f aca="false">D12*Annahmen!$B$7</f>
        <v>423.82704</v>
      </c>
      <c r="E17" s="18" t="n">
        <f aca="false">E12*Annahmen!$B$7</f>
        <v>556.7122288</v>
      </c>
      <c r="F17" s="18" t="n">
        <f aca="false">F12*Annahmen!$B$7</f>
        <v>685.610861936</v>
      </c>
      <c r="G17" s="18" t="n">
        <f aca="false">G12*Annahmen!$B$7</f>
        <v>810.64253607792</v>
      </c>
      <c r="H17" s="18" t="n">
        <f aca="false">H12*Annahmen!$B$7</f>
        <v>1022.92325999558</v>
      </c>
      <c r="I17" s="18" t="n">
        <f aca="false">I12*Annahmen!$B$7</f>
        <v>1228.83556219571</v>
      </c>
      <c r="J17" s="18" t="n">
        <f aca="false">J12*Annahmen!$B$7</f>
        <v>1428.57049532984</v>
      </c>
      <c r="K17" s="18" t="n">
        <f aca="false">K12*Annahmen!$B$7</f>
        <v>1622.31338046995</v>
      </c>
      <c r="L17" s="18" t="n">
        <f aca="false">L12*Annahmen!$B$7</f>
        <v>1810.24397905585</v>
      </c>
      <c r="M17" s="18" t="n">
        <f aca="false">M12*Annahmen!$B$7</f>
        <v>1992.53665968417</v>
      </c>
      <c r="N17" s="18" t="n">
        <f aca="false">N12*Annahmen!$B$7</f>
        <v>2223.96055989365</v>
      </c>
      <c r="O17" s="18" t="n">
        <f aca="false">O12*Annahmen!$B$7</f>
        <v>2448.44174309684</v>
      </c>
      <c r="P17" s="18" t="n">
        <f aca="false">P12*Annahmen!$B$7</f>
        <v>2666.18849080393</v>
      </c>
      <c r="Q17" s="18" t="n">
        <f aca="false">Q12*Annahmen!$B$7</f>
        <v>2877.40283607982</v>
      </c>
      <c r="R17" s="18" t="n">
        <f aca="false">R12*Annahmen!$B$7</f>
        <v>3082.28075099742</v>
      </c>
      <c r="S17" s="18" t="n">
        <f aca="false">S12*Annahmen!$B$7</f>
        <v>3281.0123284675</v>
      </c>
      <c r="T17" s="18" t="n">
        <f aca="false">T12*Annahmen!$B$7</f>
        <v>3473.78195861347</v>
      </c>
      <c r="U17" s="18" t="n">
        <f aca="false">U12*Annahmen!$B$7</f>
        <v>3660.76849985507</v>
      </c>
      <c r="V17" s="18" t="n">
        <f aca="false">V12*Annahmen!$B$7</f>
        <v>3842.14544485942</v>
      </c>
      <c r="W17" s="18" t="n">
        <f aca="false">W12*Annahmen!$B$7</f>
        <v>4018.08108151363</v>
      </c>
      <c r="X17" s="18" t="n">
        <f aca="false">X12*Annahmen!$B$7</f>
        <v>4188.73864906822</v>
      </c>
      <c r="Y17" s="18" t="n">
        <f aca="false">Y12*Annahmen!$B$7</f>
        <v>4354.27648959618</v>
      </c>
    </row>
    <row r="18" customFormat="false" ht="15" hidden="false" customHeight="false" outlineLevel="0" collapsed="false">
      <c r="A18" s="4" t="s">
        <v>184</v>
      </c>
      <c r="B18" s="18" t="n">
        <f aca="false">B13*Annahmen!$B$8</f>
        <v>46.4</v>
      </c>
      <c r="C18" s="18" t="n">
        <f aca="false">C13*Annahmen!$B$8</f>
        <v>90.944</v>
      </c>
      <c r="D18" s="18" t="n">
        <f aca="false">D13*Annahmen!$B$8</f>
        <v>133.70624</v>
      </c>
      <c r="E18" s="18" t="n">
        <f aca="false">E13*Annahmen!$B$8</f>
        <v>174.7579904</v>
      </c>
      <c r="F18" s="18" t="n">
        <f aca="false">F13*Annahmen!$B$8</f>
        <v>214.167670784</v>
      </c>
      <c r="G18" s="18" t="n">
        <f aca="false">G13*Annahmen!$B$8</f>
        <v>252.00096395264</v>
      </c>
      <c r="H18" s="18" t="n">
        <f aca="false">H13*Annahmen!$B$8</f>
        <v>317.320925394534</v>
      </c>
      <c r="I18" s="18" t="n">
        <f aca="false">I13*Annahmen!$B$8</f>
        <v>380.028088378753</v>
      </c>
      <c r="J18" s="18" t="n">
        <f aca="false">J13*Annahmen!$B$8</f>
        <v>440.226964843603</v>
      </c>
      <c r="K18" s="18" t="n">
        <f aca="false">K13*Annahmen!$B$8</f>
        <v>498.017886249859</v>
      </c>
      <c r="L18" s="18" t="n">
        <f aca="false">L13*Annahmen!$B$8</f>
        <v>553.497170799864</v>
      </c>
      <c r="M18" s="18" t="n">
        <f aca="false">M13*Annahmen!$B$8</f>
        <v>606.75728396787</v>
      </c>
      <c r="N18" s="18" t="n">
        <f aca="false">N13*Annahmen!$B$8</f>
        <v>675.286992609155</v>
      </c>
      <c r="O18" s="18" t="n">
        <f aca="false">O13*Annahmen!$B$8</f>
        <v>741.075512904789</v>
      </c>
      <c r="P18" s="18" t="n">
        <f aca="false">P13*Annahmen!$B$8</f>
        <v>804.232492388597</v>
      </c>
      <c r="Q18" s="18" t="n">
        <f aca="false">Q13*Annahmen!$B$8</f>
        <v>864.863192693054</v>
      </c>
      <c r="R18" s="18" t="n">
        <f aca="false">R13*Annahmen!$B$8</f>
        <v>923.068664985332</v>
      </c>
      <c r="S18" s="18" t="n">
        <f aca="false">S13*Annahmen!$B$8</f>
        <v>978.945918385918</v>
      </c>
      <c r="T18" s="18" t="n">
        <f aca="false">T13*Annahmen!$B$8</f>
        <v>1032.58808165048</v>
      </c>
      <c r="U18" s="18" t="n">
        <f aca="false">U13*Annahmen!$B$8</f>
        <v>1084.08455838446</v>
      </c>
      <c r="V18" s="18" t="n">
        <f aca="false">V13*Annahmen!$B$8</f>
        <v>1133.52117604908</v>
      </c>
      <c r="W18" s="18" t="n">
        <f aca="false">W13*Annahmen!$B$8</f>
        <v>1180.98032900712</v>
      </c>
      <c r="X18" s="18" t="n">
        <f aca="false">X13*Annahmen!$B$8</f>
        <v>1226.54111584684</v>
      </c>
      <c r="Y18" s="18" t="n">
        <f aca="false">Y13*Annahmen!$B$8</f>
        <v>1270.27947121296</v>
      </c>
    </row>
    <row r="19" customFormat="false" ht="15" hidden="false" customHeight="false" outlineLevel="0" collapsed="false">
      <c r="A19" s="4" t="s">
        <v>185</v>
      </c>
      <c r="B19" s="18" t="n">
        <f aca="false">B14*Annahmen!$B$10</f>
        <v>0</v>
      </c>
      <c r="C19" s="18" t="n">
        <f aca="false">C14*Annahmen!$B$10</f>
        <v>0</v>
      </c>
      <c r="D19" s="18" t="n">
        <f aca="false">D14*Annahmen!$B$10</f>
        <v>0</v>
      </c>
      <c r="E19" s="18" t="n">
        <f aca="false">E14*Annahmen!$B$10</f>
        <v>0</v>
      </c>
      <c r="F19" s="18" t="n">
        <f aca="false">F14*Annahmen!$B$10</f>
        <v>0</v>
      </c>
      <c r="G19" s="18" t="n">
        <f aca="false">G14*Annahmen!$B$10</f>
        <v>0</v>
      </c>
      <c r="H19" s="18" t="n">
        <f aca="false">H14*Annahmen!$B$10</f>
        <v>178.5</v>
      </c>
      <c r="I19" s="18" t="n">
        <f aca="false">I14*Annahmen!$B$10</f>
        <v>353.43</v>
      </c>
      <c r="J19" s="18" t="n">
        <f aca="false">J14*Annahmen!$B$10</f>
        <v>524.8614</v>
      </c>
      <c r="K19" s="18" t="n">
        <f aca="false">K14*Annahmen!$B$10</f>
        <v>692.864172</v>
      </c>
      <c r="L19" s="18" t="n">
        <f aca="false">L14*Annahmen!$B$10</f>
        <v>857.50688856</v>
      </c>
      <c r="M19" s="18" t="n">
        <f aca="false">M14*Annahmen!$B$10</f>
        <v>1018.8567507888</v>
      </c>
      <c r="N19" s="18" t="n">
        <f aca="false">N14*Annahmen!$B$10</f>
        <v>1295.97961577302</v>
      </c>
      <c r="O19" s="18" t="n">
        <f aca="false">O14*Annahmen!$B$10</f>
        <v>1567.56002345756</v>
      </c>
      <c r="P19" s="18" t="n">
        <f aca="false">P14*Annahmen!$B$10</f>
        <v>1833.70882298841</v>
      </c>
      <c r="Q19" s="18" t="n">
        <f aca="false">Q14*Annahmen!$B$10</f>
        <v>2094.53464652864</v>
      </c>
      <c r="R19" s="18" t="n">
        <f aca="false">R14*Annahmen!$B$10</f>
        <v>2350.14395359807</v>
      </c>
      <c r="S19" s="18" t="n">
        <f aca="false">S14*Annahmen!$B$10</f>
        <v>2600.64107452611</v>
      </c>
      <c r="T19" s="18" t="n">
        <f aca="false">T14*Annahmen!$B$10</f>
        <v>2846.12825303559</v>
      </c>
      <c r="U19" s="18" t="n">
        <f aca="false">U14*Annahmen!$B$10</f>
        <v>3086.70568797488</v>
      </c>
      <c r="V19" s="18" t="n">
        <f aca="false">V14*Annahmen!$B$10</f>
        <v>3322.47157421538</v>
      </c>
      <c r="W19" s="18" t="n">
        <f aca="false">W14*Annahmen!$B$10</f>
        <v>3553.52214273107</v>
      </c>
      <c r="X19" s="18" t="n">
        <f aca="false">X14*Annahmen!$B$10</f>
        <v>3779.95169987645</v>
      </c>
      <c r="Y19" s="18" t="n">
        <f aca="false">Y14*Annahmen!$B$10</f>
        <v>4001.85266587892</v>
      </c>
    </row>
    <row r="20" customFormat="false" ht="15" hidden="false" customHeight="false" outlineLevel="0" collapsed="false">
      <c r="A20" s="8" t="s">
        <v>186</v>
      </c>
      <c r="B20" s="23" t="n">
        <f aca="false">SUM(B16:B19)</f>
        <v>247.2</v>
      </c>
      <c r="C20" s="23" t="n">
        <f aca="false">SUM(C16:C19)</f>
        <v>487.624</v>
      </c>
      <c r="D20" s="23" t="n">
        <f aca="false">SUM(D16:D19)</f>
        <v>721.4828</v>
      </c>
      <c r="E20" s="23" t="n">
        <f aca="false">SUM(E16:E19)</f>
        <v>948.980244</v>
      </c>
      <c r="F20" s="23" t="n">
        <f aca="false">SUM(F16:F19)</f>
        <v>1170.313457272</v>
      </c>
      <c r="G20" s="23" t="n">
        <f aca="false">SUM(G16:G19)</f>
        <v>1385.67307533704</v>
      </c>
      <c r="H20" s="23" t="n">
        <f aca="false">SUM(H16:H19)</f>
        <v>1928.24346494353</v>
      </c>
      <c r="I20" s="23" t="n">
        <f aca="false">SUM(I16:I19)</f>
        <v>2457.39793733235</v>
      </c>
      <c r="J20" s="23" t="n">
        <f aca="false">SUM(J16:J19)</f>
        <v>2973.51210406375</v>
      </c>
      <c r="K20" s="23" t="n">
        <f aca="false">SUM(K16:K19)</f>
        <v>3476.95015017121</v>
      </c>
      <c r="L20" s="23" t="n">
        <f aca="false">SUM(L16:L19)</f>
        <v>3968.0652027526</v>
      </c>
      <c r="M20" s="23" t="n">
        <f aca="false">SUM(M16:M19)</f>
        <v>4447.19968713436</v>
      </c>
      <c r="N20" s="23" t="n">
        <f aca="false">SUM(N16:N19)</f>
        <v>5126.38567104241</v>
      </c>
      <c r="O20" s="23" t="n">
        <f aca="false">SUM(O16:O19)</f>
        <v>5789.32419719811</v>
      </c>
      <c r="P20" s="23" t="n">
        <f aca="false">SUM(P16:P19)</f>
        <v>6436.45425474247</v>
      </c>
      <c r="Q20" s="23" t="n">
        <f aca="false">SUM(Q16:Q19)</f>
        <v>7068.20187937742</v>
      </c>
      <c r="R20" s="23" t="n">
        <f aca="false">SUM(R16:R19)</f>
        <v>7684.98056161598</v>
      </c>
      <c r="S20" s="23" t="n">
        <f aca="false">SUM(S16:S19)</f>
        <v>8287.19164149433</v>
      </c>
      <c r="T20" s="23" t="n">
        <f aca="false">SUM(T16:T19)</f>
        <v>8875.22469021319</v>
      </c>
      <c r="U20" s="23" t="n">
        <f aca="false">SUM(U16:U19)</f>
        <v>9449.45787915892</v>
      </c>
      <c r="V20" s="23" t="n">
        <f aca="false">SUM(V16:V19)</f>
        <v>10010.2583367389</v>
      </c>
      <c r="W20" s="23" t="n">
        <f aca="false">SUM(W16:W19)</f>
        <v>10557.9824934507</v>
      </c>
      <c r="X20" s="23" t="n">
        <f aca="false">SUM(X16:X19)</f>
        <v>11092.9764155884</v>
      </c>
      <c r="Y20" s="23" t="n">
        <f aca="false">SUM(Y16:Y19)</f>
        <v>11615.576127977</v>
      </c>
    </row>
    <row r="21" customFormat="false" ht="15" hidden="false" customHeight="false" outlineLevel="0" collapsed="false">
      <c r="A21" s="4" t="s">
        <v>187</v>
      </c>
      <c r="B21" s="18" t="n">
        <f aca="false">B6*Annahmen!$B$5+B8*Annahmen!$B$9</f>
        <v>1822.4</v>
      </c>
      <c r="C21" s="18" t="n">
        <f aca="false">C6*Annahmen!$B$5+C8*Annahmen!$B$9</f>
        <v>1822.4</v>
      </c>
      <c r="D21" s="18" t="n">
        <f aca="false">D6*Annahmen!$B$5+D8*Annahmen!$B$9</f>
        <v>1822.4</v>
      </c>
      <c r="E21" s="18" t="n">
        <f aca="false">E6*Annahmen!$B$5+E8*Annahmen!$B$9</f>
        <v>1822.4</v>
      </c>
      <c r="F21" s="18" t="n">
        <f aca="false">F6*Annahmen!$B$5+F8*Annahmen!$B$9</f>
        <v>1822.4</v>
      </c>
      <c r="G21" s="18" t="n">
        <f aca="false">G6*Annahmen!$B$5+G8*Annahmen!$B$9</f>
        <v>1822.4</v>
      </c>
      <c r="H21" s="18" t="n">
        <f aca="false">H6*Annahmen!$B$5+H8*Annahmen!$B$9</f>
        <v>2961.4</v>
      </c>
      <c r="I21" s="18" t="n">
        <f aca="false">I6*Annahmen!$B$5+I8*Annahmen!$B$9</f>
        <v>2961.4</v>
      </c>
      <c r="J21" s="18" t="n">
        <f aca="false">J6*Annahmen!$B$5+J8*Annahmen!$B$9</f>
        <v>2961.4</v>
      </c>
      <c r="K21" s="18" t="n">
        <f aca="false">K6*Annahmen!$B$5+K8*Annahmen!$B$9</f>
        <v>2961.4</v>
      </c>
      <c r="L21" s="18" t="n">
        <f aca="false">L6*Annahmen!$B$5+L8*Annahmen!$B$9</f>
        <v>2961.4</v>
      </c>
      <c r="M21" s="18" t="n">
        <f aca="false">M6*Annahmen!$B$5+M8*Annahmen!$B$9</f>
        <v>2961.4</v>
      </c>
      <c r="N21" s="18" t="n">
        <f aca="false">N6*Annahmen!$B$5+N8*Annahmen!$B$9</f>
        <v>3644.8</v>
      </c>
      <c r="O21" s="18" t="n">
        <f aca="false">O6*Annahmen!$B$5+O8*Annahmen!$B$9</f>
        <v>3644.8</v>
      </c>
      <c r="P21" s="18" t="n">
        <f aca="false">P6*Annahmen!$B$5+P8*Annahmen!$B$9</f>
        <v>3644.8</v>
      </c>
      <c r="Q21" s="18" t="n">
        <f aca="false">Q6*Annahmen!$B$5+Q8*Annahmen!$B$9</f>
        <v>3644.8</v>
      </c>
      <c r="R21" s="18" t="n">
        <f aca="false">R6*Annahmen!$B$5+R8*Annahmen!$B$9</f>
        <v>3644.8</v>
      </c>
      <c r="S21" s="18" t="n">
        <f aca="false">S6*Annahmen!$B$5+S8*Annahmen!$B$9</f>
        <v>3644.8</v>
      </c>
      <c r="T21" s="18" t="n">
        <f aca="false">T6*Annahmen!$B$5+T8*Annahmen!$B$9</f>
        <v>3644.8</v>
      </c>
      <c r="U21" s="18" t="n">
        <f aca="false">U6*Annahmen!$B$5+U8*Annahmen!$B$9</f>
        <v>3644.8</v>
      </c>
      <c r="V21" s="18" t="n">
        <f aca="false">V6*Annahmen!$B$5+V8*Annahmen!$B$9</f>
        <v>3644.8</v>
      </c>
      <c r="W21" s="18" t="n">
        <f aca="false">W6*Annahmen!$B$5+W8*Annahmen!$B$9</f>
        <v>3644.8</v>
      </c>
      <c r="X21" s="18" t="n">
        <f aca="false">X6*Annahmen!$B$5+X8*Annahmen!$B$9</f>
        <v>3644.8</v>
      </c>
      <c r="Y21" s="18" t="n">
        <f aca="false">Y6*Annahmen!$B$5+Y8*Annahmen!$B$9</f>
        <v>3644.8</v>
      </c>
    </row>
    <row r="22" customFormat="false" ht="15" hidden="false" customHeight="false" outlineLevel="0" collapsed="false">
      <c r="A22" s="8" t="s">
        <v>188</v>
      </c>
      <c r="B22" s="23" t="n">
        <f aca="false">B20+B21</f>
        <v>2069.6</v>
      </c>
      <c r="C22" s="23" t="n">
        <f aca="false">C20+C21</f>
        <v>2310.024</v>
      </c>
      <c r="D22" s="23" t="n">
        <f aca="false">D20+D21</f>
        <v>2543.8828</v>
      </c>
      <c r="E22" s="23" t="n">
        <f aca="false">E20+E21</f>
        <v>2771.380244</v>
      </c>
      <c r="F22" s="23" t="n">
        <f aca="false">F20+F21</f>
        <v>2992.713457272</v>
      </c>
      <c r="G22" s="23" t="n">
        <f aca="false">G20+G21</f>
        <v>3208.07307533704</v>
      </c>
      <c r="H22" s="23" t="n">
        <f aca="false">H20+H21</f>
        <v>4889.64346494353</v>
      </c>
      <c r="I22" s="23" t="n">
        <f aca="false">I20+I21</f>
        <v>5418.79793733235</v>
      </c>
      <c r="J22" s="23" t="n">
        <f aca="false">J20+J21</f>
        <v>5934.91210406375</v>
      </c>
      <c r="K22" s="23" t="n">
        <f aca="false">K20+K21</f>
        <v>6438.35015017121</v>
      </c>
      <c r="L22" s="23" t="n">
        <f aca="false">L20+L21</f>
        <v>6929.4652027526</v>
      </c>
      <c r="M22" s="23" t="n">
        <f aca="false">M20+M21</f>
        <v>7408.59968713436</v>
      </c>
      <c r="N22" s="23" t="n">
        <f aca="false">N20+N21</f>
        <v>8771.18567104241</v>
      </c>
      <c r="O22" s="23" t="n">
        <f aca="false">O20+O21</f>
        <v>9434.12419719811</v>
      </c>
      <c r="P22" s="23" t="n">
        <f aca="false">P20+P21</f>
        <v>10081.2542547425</v>
      </c>
      <c r="Q22" s="23" t="n">
        <f aca="false">Q20+Q21</f>
        <v>10713.0018793774</v>
      </c>
      <c r="R22" s="23" t="n">
        <f aca="false">R20+R21</f>
        <v>11329.780561616</v>
      </c>
      <c r="S22" s="23" t="n">
        <f aca="false">S20+S21</f>
        <v>11931.9916414943</v>
      </c>
      <c r="T22" s="23" t="n">
        <f aca="false">T20+T21</f>
        <v>12520.0246902132</v>
      </c>
      <c r="U22" s="23" t="n">
        <f aca="false">U20+U21</f>
        <v>13094.2578791589</v>
      </c>
      <c r="V22" s="23" t="n">
        <f aca="false">V20+V21</f>
        <v>13655.0583367389</v>
      </c>
      <c r="W22" s="23" t="n">
        <f aca="false">W20+W21</f>
        <v>14202.7824934507</v>
      </c>
      <c r="X22" s="23" t="n">
        <f aca="false">X20+X21</f>
        <v>14737.7764155884</v>
      </c>
      <c r="Y22" s="23" t="n">
        <f aca="false">Y20+Y21</f>
        <v>15260.376127977</v>
      </c>
    </row>
    <row r="23" customFormat="false" ht="15" hidden="false" customHeight="false" outlineLevel="0" collapsed="false">
      <c r="A23" s="22" t="s">
        <v>189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customFormat="false" ht="15" hidden="false" customHeight="false" outlineLevel="0" collapsed="false">
      <c r="A24" s="4" t="s">
        <v>190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191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192</v>
      </c>
      <c r="B26" s="11" t="n">
        <f aca="false">B6*Annahmen!$B$18+B12*Annahmen!$B$19+B14*Annahmen!$B$20</f>
        <v>6.96</v>
      </c>
      <c r="C26" s="11" t="n">
        <f aca="false">C6*Annahmen!$B$18+C12*Annahmen!$B$19+C14*Annahmen!$B$20</f>
        <v>7.5032</v>
      </c>
      <c r="D26" s="11" t="n">
        <f aca="false">D6*Annahmen!$B$18+D12*Annahmen!$B$19+D14*Annahmen!$B$20</f>
        <v>8.030104</v>
      </c>
      <c r="E26" s="11" t="n">
        <f aca="false">E6*Annahmen!$B$18+E12*Annahmen!$B$19+E14*Annahmen!$B$20</f>
        <v>8.54120088</v>
      </c>
      <c r="F26" s="11" t="n">
        <f aca="false">F6*Annahmen!$B$18+F12*Annahmen!$B$19+F14*Annahmen!$B$20</f>
        <v>9.0369648536</v>
      </c>
      <c r="G26" s="11" t="n">
        <f aca="false">G6*Annahmen!$B$18+G12*Annahmen!$B$19+G14*Annahmen!$B$20</f>
        <v>9.517855907992</v>
      </c>
      <c r="H26" s="11" t="n">
        <f aca="false">H6*Annahmen!$B$18+H12*Annahmen!$B$19+H14*Annahmen!$B$20</f>
        <v>15.0843202307522</v>
      </c>
      <c r="I26" s="11" t="n">
        <f aca="false">I6*Annahmen!$B$18+I12*Annahmen!$B$19+I14*Annahmen!$B$20</f>
        <v>16.6112906238297</v>
      </c>
      <c r="J26" s="11" t="n">
        <f aca="false">J6*Annahmen!$B$18+J12*Annahmen!$B$19+J14*Annahmen!$B$20</f>
        <v>18.0998019051148</v>
      </c>
      <c r="K26" s="11" t="n">
        <f aca="false">K6*Annahmen!$B$18+K12*Annahmen!$B$19+K14*Annahmen!$B$20</f>
        <v>19.5508608479613</v>
      </c>
      <c r="L26" s="11" t="n">
        <f aca="false">L6*Annahmen!$B$18+L12*Annahmen!$B$19+L14*Annahmen!$B$20</f>
        <v>20.9654469625225</v>
      </c>
      <c r="M26" s="11" t="n">
        <f aca="false">M6*Annahmen!$B$18+M12*Annahmen!$B$19+M14*Annahmen!$B$20</f>
        <v>22.3445132548468</v>
      </c>
      <c r="N26" s="11" t="n">
        <f aca="false">N6*Annahmen!$B$18+N12*Annahmen!$B$19+N14*Annahmen!$B$20</f>
        <v>26.7989869643774</v>
      </c>
      <c r="O26" s="11" t="n">
        <f aca="false">O6*Annahmen!$B$18+O12*Annahmen!$B$19+O14*Annahmen!$B$20</f>
        <v>28.8034702804786</v>
      </c>
      <c r="P26" s="11" t="n">
        <f aca="false">P6*Annahmen!$B$18+P12*Annahmen!$B$19+P14*Annahmen!$B$20</f>
        <v>30.759230038596</v>
      </c>
      <c r="Q26" s="11" t="n">
        <f aca="false">Q6*Annahmen!$B$18+Q12*Annahmen!$B$19+Q14*Annahmen!$B$20</f>
        <v>32.6674997266394</v>
      </c>
      <c r="R26" s="11" t="n">
        <f aca="false">R6*Annahmen!$B$18+R12*Annahmen!$B$19+R14*Annahmen!$B$20</f>
        <v>34.5294803922574</v>
      </c>
      <c r="S26" s="11" t="n">
        <f aca="false">S6*Annahmen!$B$18+S12*Annahmen!$B$19+S14*Annahmen!$B$20</f>
        <v>36.3463415247584</v>
      </c>
      <c r="T26" s="11" t="n">
        <f aca="false">T6*Annahmen!$B$18+T12*Annahmen!$B$19+T14*Annahmen!$B$20</f>
        <v>38.1192219123991</v>
      </c>
      <c r="U26" s="11" t="n">
        <f aca="false">U6*Annahmen!$B$18+U12*Annahmen!$B$19+U14*Annahmen!$B$20</f>
        <v>39.849230475743</v>
      </c>
      <c r="V26" s="11" t="n">
        <f aca="false">V6*Annahmen!$B$18+V12*Annahmen!$B$19+V14*Annahmen!$B$20</f>
        <v>41.5374470777721</v>
      </c>
      <c r="W26" s="11" t="n">
        <f aca="false">W6*Annahmen!$B$18+W12*Annahmen!$B$19+W14*Annahmen!$B$20</f>
        <v>43.1849233114144</v>
      </c>
      <c r="X26" s="11" t="n">
        <f aca="false">X6*Annahmen!$B$18+X12*Annahmen!$B$19+X14*Annahmen!$B$20</f>
        <v>44.7926832651279</v>
      </c>
      <c r="Y26" s="11" t="n">
        <f aca="false">Y6*Annahmen!$B$18+Y12*Annahmen!$B$19+Y14*Annahmen!$B$20</f>
        <v>46.3617242671689</v>
      </c>
    </row>
    <row r="27" customFormat="false" ht="15" hidden="false" customHeight="false" outlineLevel="0" collapsed="false">
      <c r="A27" s="4" t="s">
        <v>193</v>
      </c>
      <c r="B27" s="18" t="n">
        <f aca="false">B26*Annahmen!$B$17</f>
        <v>313.2</v>
      </c>
      <c r="C27" s="18" t="n">
        <f aca="false">C26*Annahmen!$B$17</f>
        <v>337.644</v>
      </c>
      <c r="D27" s="18" t="n">
        <f aca="false">D26*Annahmen!$B$17</f>
        <v>361.35468</v>
      </c>
      <c r="E27" s="18" t="n">
        <f aca="false">E26*Annahmen!$B$17</f>
        <v>384.3540396</v>
      </c>
      <c r="F27" s="18" t="n">
        <f aca="false">F26*Annahmen!$B$17</f>
        <v>406.663418412</v>
      </c>
      <c r="G27" s="18" t="n">
        <f aca="false">G26*Annahmen!$B$17</f>
        <v>428.30351585964</v>
      </c>
      <c r="H27" s="18" t="n">
        <f aca="false">H26*Annahmen!$B$17</f>
        <v>678.794410383851</v>
      </c>
      <c r="I27" s="18" t="n">
        <f aca="false">I26*Annahmen!$B$17</f>
        <v>747.508078072335</v>
      </c>
      <c r="J27" s="18" t="n">
        <f aca="false">J26*Annahmen!$B$17</f>
        <v>814.491085730165</v>
      </c>
      <c r="K27" s="18" t="n">
        <f aca="false">K26*Annahmen!$B$17</f>
        <v>879.78873815826</v>
      </c>
      <c r="L27" s="18" t="n">
        <f aca="false">L26*Annahmen!$B$17</f>
        <v>943.445113313512</v>
      </c>
      <c r="M27" s="18" t="n">
        <f aca="false">M26*Annahmen!$B$17</f>
        <v>1005.50309646811</v>
      </c>
      <c r="N27" s="18" t="n">
        <f aca="false">N26*Annahmen!$B$17</f>
        <v>1205.95441339698</v>
      </c>
      <c r="O27" s="18" t="n">
        <f aca="false">O26*Annahmen!$B$17</f>
        <v>1296.15616262154</v>
      </c>
      <c r="P27" s="18" t="n">
        <f aca="false">P26*Annahmen!$B$17</f>
        <v>1384.16535173682</v>
      </c>
      <c r="Q27" s="18" t="n">
        <f aca="false">Q26*Annahmen!$B$17</f>
        <v>1470.03748769877</v>
      </c>
      <c r="R27" s="18" t="n">
        <f aca="false">R26*Annahmen!$B$17</f>
        <v>1553.82661765158</v>
      </c>
      <c r="S27" s="18" t="n">
        <f aca="false">S26*Annahmen!$B$17</f>
        <v>1635.58536861413</v>
      </c>
      <c r="T27" s="18" t="n">
        <f aca="false">T26*Annahmen!$B$17</f>
        <v>1715.36498605796</v>
      </c>
      <c r="U27" s="18" t="n">
        <f aca="false">U26*Annahmen!$B$17</f>
        <v>1793.21537140843</v>
      </c>
      <c r="V27" s="18" t="n">
        <f aca="false">V26*Annahmen!$B$17</f>
        <v>1869.18511849975</v>
      </c>
      <c r="W27" s="18" t="n">
        <f aca="false">W26*Annahmen!$B$17</f>
        <v>1943.32154901365</v>
      </c>
      <c r="X27" s="18" t="n">
        <f aca="false">X26*Annahmen!$B$17</f>
        <v>2015.67074693076</v>
      </c>
      <c r="Y27" s="18" t="n">
        <f aca="false">Y26*Annahmen!$B$17</f>
        <v>2086.2775920226</v>
      </c>
    </row>
    <row r="28" customFormat="false" ht="15" hidden="false" customHeight="false" outlineLevel="0" collapsed="false">
      <c r="A28" s="8" t="s">
        <v>99</v>
      </c>
      <c r="B28" s="23" t="n">
        <f aca="false">B24+B25+B27</f>
        <v>668.2</v>
      </c>
      <c r="C28" s="23" t="n">
        <f aca="false">C24+C25+C27</f>
        <v>692.644</v>
      </c>
      <c r="D28" s="23" t="n">
        <f aca="false">D24+D25+D27</f>
        <v>716.35468</v>
      </c>
      <c r="E28" s="23" t="n">
        <f aca="false">E24+E25+E27</f>
        <v>739.3540396</v>
      </c>
      <c r="F28" s="23" t="n">
        <f aca="false">F24+F25+F27</f>
        <v>761.663418412</v>
      </c>
      <c r="G28" s="23" t="n">
        <f aca="false">G24+G25+G27</f>
        <v>783.30351585964</v>
      </c>
      <c r="H28" s="23" t="n">
        <f aca="false">H24+H25+H27</f>
        <v>1033.79441038385</v>
      </c>
      <c r="I28" s="23" t="n">
        <f aca="false">I24+I25+I27</f>
        <v>1102.50807807234</v>
      </c>
      <c r="J28" s="23" t="n">
        <f aca="false">J24+J25+J27</f>
        <v>1169.49108573017</v>
      </c>
      <c r="K28" s="23" t="n">
        <f aca="false">K24+K25+K27</f>
        <v>1234.78873815826</v>
      </c>
      <c r="L28" s="23" t="n">
        <f aca="false">L24+L25+L27</f>
        <v>1298.44511331351</v>
      </c>
      <c r="M28" s="23" t="n">
        <f aca="false">M24+M25+M27</f>
        <v>1360.50309646811</v>
      </c>
      <c r="N28" s="23" t="n">
        <f aca="false">N24+N25+N27</f>
        <v>1560.95441339698</v>
      </c>
      <c r="O28" s="23" t="n">
        <f aca="false">O24+O25+O27</f>
        <v>1651.15616262154</v>
      </c>
      <c r="P28" s="23" t="n">
        <f aca="false">P24+P25+P27</f>
        <v>1739.16535173682</v>
      </c>
      <c r="Q28" s="23" t="n">
        <f aca="false">Q24+Q25+Q27</f>
        <v>1825.03748769877</v>
      </c>
      <c r="R28" s="23" t="n">
        <f aca="false">R24+R25+R27</f>
        <v>1908.82661765158</v>
      </c>
      <c r="S28" s="23" t="n">
        <f aca="false">S24+S25+S27</f>
        <v>1990.58536861413</v>
      </c>
      <c r="T28" s="23" t="n">
        <f aca="false">T24+T25+T27</f>
        <v>2070.36498605796</v>
      </c>
      <c r="U28" s="23" t="n">
        <f aca="false">U24+U25+U27</f>
        <v>2148.21537140843</v>
      </c>
      <c r="V28" s="23" t="n">
        <f aca="false">V24+V25+V27</f>
        <v>2224.18511849975</v>
      </c>
      <c r="W28" s="23" t="n">
        <f aca="false">W24+W25+W27</f>
        <v>2298.32154901365</v>
      </c>
      <c r="X28" s="23" t="n">
        <f aca="false">X24+X25+X27</f>
        <v>2370.67074693076</v>
      </c>
      <c r="Y28" s="23" t="n">
        <f aca="false">Y24+Y25+Y27</f>
        <v>2441.2775920226</v>
      </c>
    </row>
    <row r="29" customFormat="false" ht="15" hidden="false" customHeight="false" outlineLevel="0" collapsed="false">
      <c r="A29" s="22" t="s">
        <v>194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customFormat="false" ht="15" hidden="false" customHeight="false" outlineLevel="0" collapsed="false">
      <c r="A30" s="8" t="s">
        <v>195</v>
      </c>
      <c r="B30" s="23" t="n">
        <f aca="false">B22-B28</f>
        <v>1401.4</v>
      </c>
      <c r="C30" s="23" t="n">
        <f aca="false">C22-C28</f>
        <v>1617.38</v>
      </c>
      <c r="D30" s="23" t="n">
        <f aca="false">D22-D28</f>
        <v>1827.52812</v>
      </c>
      <c r="E30" s="23" t="n">
        <f aca="false">E22-E28</f>
        <v>2032.0262044</v>
      </c>
      <c r="F30" s="23" t="n">
        <f aca="false">F22-F28</f>
        <v>2231.05003886</v>
      </c>
      <c r="G30" s="23" t="n">
        <f aca="false">G22-G28</f>
        <v>2424.7695594774</v>
      </c>
      <c r="H30" s="23" t="n">
        <f aca="false">H22-H28</f>
        <v>3855.84905455968</v>
      </c>
      <c r="I30" s="23" t="n">
        <f aca="false">I22-I28</f>
        <v>4316.28985926001</v>
      </c>
      <c r="J30" s="23" t="n">
        <f aca="false">J22-J28</f>
        <v>4765.42101833358</v>
      </c>
      <c r="K30" s="23" t="n">
        <f aca="false">K22-K28</f>
        <v>5203.56141201295</v>
      </c>
      <c r="L30" s="23" t="n">
        <f aca="false">L22-L28</f>
        <v>5631.02008943909</v>
      </c>
      <c r="M30" s="23" t="n">
        <f aca="false">M22-M28</f>
        <v>6048.09659066625</v>
      </c>
      <c r="N30" s="23" t="n">
        <f aca="false">N22-N28</f>
        <v>7210.23125764543</v>
      </c>
      <c r="O30" s="23" t="n">
        <f aca="false">O22-O28</f>
        <v>7782.96803457657</v>
      </c>
      <c r="P30" s="23" t="n">
        <f aca="false">P22-P28</f>
        <v>8342.08890300565</v>
      </c>
      <c r="Q30" s="23" t="n">
        <f aca="false">Q22-Q28</f>
        <v>8887.96439167865</v>
      </c>
      <c r="R30" s="23" t="n">
        <f aca="false">R22-R28</f>
        <v>9420.95394396439</v>
      </c>
      <c r="S30" s="23" t="n">
        <f aca="false">S22-S28</f>
        <v>9941.4062728802</v>
      </c>
      <c r="T30" s="23" t="n">
        <f aca="false">T22-T28</f>
        <v>10449.6597041552</v>
      </c>
      <c r="U30" s="23" t="n">
        <f aca="false">U22-U28</f>
        <v>10946.0425077505</v>
      </c>
      <c r="V30" s="23" t="n">
        <f aca="false">V22-V28</f>
        <v>11430.8732182392</v>
      </c>
      <c r="W30" s="23" t="n">
        <f aca="false">W22-W28</f>
        <v>11904.4609444371</v>
      </c>
      <c r="X30" s="23" t="n">
        <f aca="false">X22-X28</f>
        <v>12367.1056686577</v>
      </c>
      <c r="Y30" s="23" t="n">
        <f aca="false">Y22-Y28</f>
        <v>12819.0985359544</v>
      </c>
    </row>
    <row r="31" customFormat="false" ht="15" hidden="false" customHeight="false" outlineLevel="0" collapsed="false">
      <c r="A31" s="8" t="s">
        <v>104</v>
      </c>
      <c r="B31" s="17" t="n">
        <f aca="false">0+B30</f>
        <v>1401.4</v>
      </c>
      <c r="C31" s="17" t="n">
        <f aca="false">B31+C30</f>
        <v>3018.78</v>
      </c>
      <c r="D31" s="17" t="n">
        <f aca="false">C31+D30</f>
        <v>4846.30812</v>
      </c>
      <c r="E31" s="17" t="n">
        <f aca="false">D31+E30</f>
        <v>6878.3343244</v>
      </c>
      <c r="F31" s="17" t="n">
        <f aca="false">E31+F30</f>
        <v>9109.38436326</v>
      </c>
      <c r="G31" s="17" t="n">
        <f aca="false">F31+G30</f>
        <v>11534.1539227374</v>
      </c>
      <c r="H31" s="17" t="n">
        <f aca="false">G31+H30</f>
        <v>15390.0029772971</v>
      </c>
      <c r="I31" s="17" t="n">
        <f aca="false">H31+I30</f>
        <v>19706.2928365571</v>
      </c>
      <c r="J31" s="17" t="n">
        <f aca="false">I31+J30</f>
        <v>24471.7138548907</v>
      </c>
      <c r="K31" s="17" t="n">
        <f aca="false">J31+K30</f>
        <v>29675.2752669036</v>
      </c>
      <c r="L31" s="17" t="n">
        <f aca="false">K31+L30</f>
        <v>35306.2953563427</v>
      </c>
      <c r="M31" s="17" t="n">
        <f aca="false">L31+M30</f>
        <v>41354.391947009</v>
      </c>
      <c r="N31" s="17" t="n">
        <f aca="false">M31+N30</f>
        <v>48564.6232046544</v>
      </c>
      <c r="O31" s="17" t="n">
        <f aca="false">N31+O30</f>
        <v>56347.591239231</v>
      </c>
      <c r="P31" s="17" t="n">
        <f aca="false">O31+P30</f>
        <v>64689.6801422366</v>
      </c>
      <c r="Q31" s="17" t="n">
        <f aca="false">P31+Q30</f>
        <v>73577.6445339153</v>
      </c>
      <c r="R31" s="17" t="n">
        <f aca="false">Q31+R30</f>
        <v>82998.5984778797</v>
      </c>
      <c r="S31" s="17" t="n">
        <f aca="false">R31+S30</f>
        <v>92940.0047507599</v>
      </c>
      <c r="T31" s="17" t="n">
        <f aca="false">S31+T30</f>
        <v>103389.664454915</v>
      </c>
      <c r="U31" s="17" t="n">
        <f aca="false">T31+U30</f>
        <v>114335.706962666</v>
      </c>
      <c r="V31" s="17" t="n">
        <f aca="false">U31+V30</f>
        <v>125766.580180905</v>
      </c>
      <c r="W31" s="17" t="n">
        <f aca="false">V31+W30</f>
        <v>137671.041125342</v>
      </c>
      <c r="X31" s="17" t="n">
        <f aca="false">W31+X30</f>
        <v>150038.146794</v>
      </c>
      <c r="Y31" s="17" t="n">
        <f aca="false">X31+Y30</f>
        <v>162857.245329954</v>
      </c>
    </row>
    <row r="32" customFormat="false" ht="15" hidden="false" customHeight="false" outlineLevel="0" collapsed="false">
      <c r="A32" s="4" t="s">
        <v>196</v>
      </c>
      <c r="B32" s="11" t="n">
        <f aca="false">B6*Annahmen!$B$21+B12*Annahmen!$B$22+B13*Annahmen!$B$23+B14*Annahmen!$B$24+B11*Annahmen!$B$25</f>
        <v>17.64</v>
      </c>
      <c r="C32" s="11" t="n">
        <f aca="false">C6*Annahmen!$B$21+C12*Annahmen!$B$22+C13*Annahmen!$B$23+C14*Annahmen!$B$24+C11*Annahmen!$B$25</f>
        <v>19.2316</v>
      </c>
      <c r="D32" s="11" t="n">
        <f aca="false">D6*Annahmen!$B$21+D12*Annahmen!$B$22+D13*Annahmen!$B$23+D14*Annahmen!$B$24+D11*Annahmen!$B$25</f>
        <v>20.77634</v>
      </c>
      <c r="E32" s="11" t="n">
        <f aca="false">E6*Annahmen!$B$21+E12*Annahmen!$B$22+E13*Annahmen!$B$23+E14*Annahmen!$B$24+E11*Annahmen!$B$25</f>
        <v>22.27570908</v>
      </c>
      <c r="F32" s="11" t="n">
        <f aca="false">F6*Annahmen!$B$21+F12*Annahmen!$B$22+F13*Annahmen!$B$23+F14*Annahmen!$B$24+F11*Annahmen!$B$25</f>
        <v>23.7311471284</v>
      </c>
      <c r="G32" s="11" t="n">
        <f aca="false">G6*Annahmen!$B$21+G12*Annahmen!$B$22+G13*Annahmen!$B$23+G14*Annahmen!$B$24+G11*Annahmen!$B$25</f>
        <v>25.144046510396</v>
      </c>
      <c r="H32" s="11" t="n">
        <f aca="false">H6*Annahmen!$B$21+H12*Annahmen!$B$22+H13*Annahmen!$B$23+H14*Annahmen!$B$24+H11*Annahmen!$B$25</f>
        <v>38.7407536784994</v>
      </c>
      <c r="I32" s="11" t="n">
        <f aca="false">I6*Annahmen!$B$21+I12*Annahmen!$B$22+I13*Annahmen!$B$23+I14*Annahmen!$B$24+I11*Annahmen!$B$25</f>
        <v>42.2433207272303</v>
      </c>
      <c r="J32" s="11" t="n">
        <f aca="false">J6*Annahmen!$B$21+J12*Annahmen!$B$22+J13*Annahmen!$B$23+J14*Annahmen!$B$24+J11*Annahmen!$B$25</f>
        <v>45.6544493939609</v>
      </c>
      <c r="K32" s="11" t="n">
        <f aca="false">K6*Annahmen!$B$21+K12*Annahmen!$B$22+K13*Annahmen!$B$23+K14*Annahmen!$B$24+K11*Annahmen!$B$25</f>
        <v>48.9767585828146</v>
      </c>
      <c r="L32" s="11" t="n">
        <f aca="false">L6*Annahmen!$B$21+L12*Annahmen!$B$22+L13*Annahmen!$B$23+L14*Annahmen!$B$24+L11*Annahmen!$B$25</f>
        <v>52.2127870357059</v>
      </c>
      <c r="M32" s="11" t="n">
        <f aca="false">M6*Annahmen!$B$21+M12*Annahmen!$B$22+M13*Annahmen!$B$23+M14*Annahmen!$B$24+M11*Annahmen!$B$25</f>
        <v>55.3649959137004</v>
      </c>
      <c r="N32" s="11" t="n">
        <f aca="false">N6*Annahmen!$B$21+N12*Annahmen!$B$22+N13*Annahmen!$B$23+N14*Annahmen!$B$24+N11*Annahmen!$B$25</f>
        <v>65.8507712918055</v>
      </c>
      <c r="O32" s="11" t="n">
        <f aca="false">O6*Annahmen!$B$21+O12*Annahmen!$B$22+O13*Annahmen!$B$23+O14*Annahmen!$B$24+O11*Annahmen!$B$25</f>
        <v>70.2232765701953</v>
      </c>
      <c r="P32" s="11" t="n">
        <f aca="false">P6*Annahmen!$B$21+P12*Annahmen!$B$22+P13*Annahmen!$B$23+P14*Annahmen!$B$24+P11*Annahmen!$B$25</f>
        <v>74.4856523047634</v>
      </c>
      <c r="Q32" s="11" t="n">
        <f aca="false">Q6*Annahmen!$B$21+Q12*Annahmen!$B$22+Q13*Annahmen!$B$23+Q14*Annahmen!$B$24+Q11*Annahmen!$B$25</f>
        <v>78.6409454647951</v>
      </c>
      <c r="R32" s="11" t="n">
        <f aca="false">R6*Annahmen!$B$21+R12*Annahmen!$B$22+R13*Annahmen!$B$23+R14*Annahmen!$B$24+R11*Annahmen!$B$25</f>
        <v>82.6921123866014</v>
      </c>
      <c r="S32" s="11" t="n">
        <f aca="false">S6*Annahmen!$B$21+S12*Annahmen!$B$22+S13*Annahmen!$B$23+S14*Annahmen!$B$24+S11*Annahmen!$B$25</f>
        <v>86.6420216295002</v>
      </c>
      <c r="T32" s="11" t="n">
        <f aca="false">T6*Annahmen!$B$21+T12*Annahmen!$B$22+T13*Annahmen!$B$23+T14*Annahmen!$B$24+T11*Annahmen!$B$25</f>
        <v>90.4934567374967</v>
      </c>
      <c r="U32" s="11" t="n">
        <f aca="false">U6*Annahmen!$B$21+U12*Annahmen!$B$22+U13*Annahmen!$B$23+U14*Annahmen!$B$24+U11*Annahmen!$B$25</f>
        <v>94.2491189098987</v>
      </c>
      <c r="V32" s="11" t="n">
        <f aca="false">V6*Annahmen!$B$21+V12*Annahmen!$B$22+V13*Annahmen!$B$23+V14*Annahmen!$B$24+V11*Annahmen!$B$25</f>
        <v>97.9116295839864</v>
      </c>
      <c r="W32" s="11" t="n">
        <f aca="false">W6*Annahmen!$B$21+W12*Annahmen!$B$22+W13*Annahmen!$B$23+W14*Annahmen!$B$24+W11*Annahmen!$B$25</f>
        <v>101.483532932746</v>
      </c>
      <c r="X32" s="11" t="n">
        <f aca="false">X6*Annahmen!$B$21+X12*Annahmen!$B$22+X13*Annahmen!$B$23+X14*Annahmen!$B$24+X11*Annahmen!$B$25</f>
        <v>104.96729828057</v>
      </c>
      <c r="Y32" s="11" t="n">
        <f aca="false">Y6*Annahmen!$B$21+Y12*Annahmen!$B$22+Y13*Annahmen!$B$23+Y14*Annahmen!$B$24+Y11*Annahmen!$B$25</f>
        <v>108.365322439731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169</v>
      </c>
    </row>
    <row r="3" customFormat="false" ht="15" hidden="false" customHeight="false" outlineLevel="0" collapsed="false">
      <c r="A3" s="3" t="s">
        <v>170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22" t="s">
        <v>171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customFormat="false" ht="15" hidden="false" customHeight="false" outlineLevel="0" collapsed="false">
      <c r="A6" s="4" t="s">
        <v>172</v>
      </c>
      <c r="B6" s="7" t="n">
        <f aca="false">IF(B$3&lt;=6,Annahmen!$D$29,IF(B$3&lt;=12,Annahmen!$D$30,Annahmen!$D$31))</f>
        <v>1</v>
      </c>
      <c r="C6" s="7" t="n">
        <f aca="false">IF(C$3&lt;=6,Annahmen!$D$29,IF(C$3&lt;=12,Annahmen!$D$30,Annahmen!$D$31))</f>
        <v>1</v>
      </c>
      <c r="D6" s="7" t="n">
        <f aca="false">IF(D$3&lt;=6,Annahmen!$D$29,IF(D$3&lt;=12,Annahmen!$D$30,Annahmen!$D$31))</f>
        <v>1</v>
      </c>
      <c r="E6" s="7" t="n">
        <f aca="false">IF(E$3&lt;=6,Annahmen!$D$29,IF(E$3&lt;=12,Annahmen!$D$30,Annahmen!$D$31))</f>
        <v>1</v>
      </c>
      <c r="F6" s="7" t="n">
        <f aca="false">IF(F$3&lt;=6,Annahmen!$D$29,IF(F$3&lt;=12,Annahmen!$D$30,Annahmen!$D$31))</f>
        <v>1</v>
      </c>
      <c r="G6" s="7" t="n">
        <f aca="false">IF(G$3&lt;=6,Annahmen!$D$29,IF(G$3&lt;=12,Annahmen!$D$30,Annahmen!$D$31))</f>
        <v>1</v>
      </c>
      <c r="H6" s="7" t="n">
        <f aca="false">IF(H$3&lt;=6,Annahmen!$D$29,IF(H$3&lt;=12,Annahmen!$D$30,Annahmen!$D$31))</f>
        <v>1.5</v>
      </c>
      <c r="I6" s="7" t="n">
        <f aca="false">IF(I$3&lt;=6,Annahmen!$D$29,IF(I$3&lt;=12,Annahmen!$D$30,Annahmen!$D$31))</f>
        <v>1.5</v>
      </c>
      <c r="J6" s="7" t="n">
        <f aca="false">IF(J$3&lt;=6,Annahmen!$D$29,IF(J$3&lt;=12,Annahmen!$D$30,Annahmen!$D$31))</f>
        <v>1.5</v>
      </c>
      <c r="K6" s="7" t="n">
        <f aca="false">IF(K$3&lt;=6,Annahmen!$D$29,IF(K$3&lt;=12,Annahmen!$D$30,Annahmen!$D$31))</f>
        <v>1.5</v>
      </c>
      <c r="L6" s="7" t="n">
        <f aca="false">IF(L$3&lt;=6,Annahmen!$D$29,IF(L$3&lt;=12,Annahmen!$D$30,Annahmen!$D$31))</f>
        <v>1.5</v>
      </c>
      <c r="M6" s="7" t="n">
        <f aca="false">IF(M$3&lt;=6,Annahmen!$D$29,IF(M$3&lt;=12,Annahmen!$D$30,Annahmen!$D$31))</f>
        <v>1.5</v>
      </c>
      <c r="N6" s="7" t="n">
        <f aca="false">IF(N$3&lt;=6,Annahmen!$D$29,IF(N$3&lt;=12,Annahmen!$D$30,Annahmen!$D$31))</f>
        <v>2</v>
      </c>
      <c r="O6" s="7" t="n">
        <f aca="false">IF(O$3&lt;=6,Annahmen!$D$29,IF(O$3&lt;=12,Annahmen!$D$30,Annahmen!$D$31))</f>
        <v>2</v>
      </c>
      <c r="P6" s="7" t="n">
        <f aca="false">IF(P$3&lt;=6,Annahmen!$D$29,IF(P$3&lt;=12,Annahmen!$D$30,Annahmen!$D$31))</f>
        <v>2</v>
      </c>
      <c r="Q6" s="7" t="n">
        <f aca="false">IF(Q$3&lt;=6,Annahmen!$D$29,IF(Q$3&lt;=12,Annahmen!$D$30,Annahmen!$D$31))</f>
        <v>2</v>
      </c>
      <c r="R6" s="7" t="n">
        <f aca="false">IF(R$3&lt;=6,Annahmen!$D$29,IF(R$3&lt;=12,Annahmen!$D$30,Annahmen!$D$31))</f>
        <v>2</v>
      </c>
      <c r="S6" s="7" t="n">
        <f aca="false">IF(S$3&lt;=6,Annahmen!$D$29,IF(S$3&lt;=12,Annahmen!$D$30,Annahmen!$D$31))</f>
        <v>2</v>
      </c>
      <c r="T6" s="7" t="n">
        <f aca="false">IF(T$3&lt;=6,Annahmen!$D$29,IF(T$3&lt;=12,Annahmen!$D$30,Annahmen!$D$31))</f>
        <v>2</v>
      </c>
      <c r="U6" s="7" t="n">
        <f aca="false">IF(U$3&lt;=6,Annahmen!$D$29,IF(U$3&lt;=12,Annahmen!$D$30,Annahmen!$D$31))</f>
        <v>2</v>
      </c>
      <c r="V6" s="7" t="n">
        <f aca="false">IF(V$3&lt;=6,Annahmen!$D$29,IF(V$3&lt;=12,Annahmen!$D$30,Annahmen!$D$31))</f>
        <v>2</v>
      </c>
      <c r="W6" s="7" t="n">
        <f aca="false">IF(W$3&lt;=6,Annahmen!$D$29,IF(W$3&lt;=12,Annahmen!$D$30,Annahmen!$D$31))</f>
        <v>2</v>
      </c>
      <c r="X6" s="7" t="n">
        <f aca="false">IF(X$3&lt;=6,Annahmen!$D$29,IF(X$3&lt;=12,Annahmen!$D$30,Annahmen!$D$31))</f>
        <v>2</v>
      </c>
      <c r="Y6" s="7" t="n">
        <f aca="false">IF(Y$3&lt;=6,Annahmen!$D$29,IF(Y$3&lt;=12,Annahmen!$D$30,Annahmen!$D$31))</f>
        <v>2</v>
      </c>
    </row>
    <row r="7" customFormat="false" ht="15" hidden="false" customHeight="false" outlineLevel="0" collapsed="false">
      <c r="A7" s="4" t="s">
        <v>173</v>
      </c>
      <c r="B7" s="11" t="n">
        <f aca="false">B6*Annahmen!$D$32</f>
        <v>0.4</v>
      </c>
      <c r="C7" s="11" t="n">
        <f aca="false">C6*Annahmen!$D$32</f>
        <v>0.4</v>
      </c>
      <c r="D7" s="11" t="n">
        <f aca="false">D6*Annahmen!$D$32</f>
        <v>0.4</v>
      </c>
      <c r="E7" s="11" t="n">
        <f aca="false">E6*Annahmen!$D$32</f>
        <v>0.4</v>
      </c>
      <c r="F7" s="11" t="n">
        <f aca="false">F6*Annahmen!$D$32</f>
        <v>0.4</v>
      </c>
      <c r="G7" s="11" t="n">
        <f aca="false">G6*Annahmen!$D$32</f>
        <v>0.4</v>
      </c>
      <c r="H7" s="11" t="n">
        <f aca="false">H6*Annahmen!$D$32</f>
        <v>0.6</v>
      </c>
      <c r="I7" s="11" t="n">
        <f aca="false">I6*Annahmen!$D$32</f>
        <v>0.6</v>
      </c>
      <c r="J7" s="11" t="n">
        <f aca="false">J6*Annahmen!$D$32</f>
        <v>0.6</v>
      </c>
      <c r="K7" s="11" t="n">
        <f aca="false">K6*Annahmen!$D$32</f>
        <v>0.6</v>
      </c>
      <c r="L7" s="11" t="n">
        <f aca="false">L6*Annahmen!$D$32</f>
        <v>0.6</v>
      </c>
      <c r="M7" s="11" t="n">
        <f aca="false">M6*Annahmen!$D$32</f>
        <v>0.6</v>
      </c>
      <c r="N7" s="11" t="n">
        <f aca="false">N6*Annahmen!$D$32</f>
        <v>0.8</v>
      </c>
      <c r="O7" s="11" t="n">
        <f aca="false">O6*Annahmen!$D$32</f>
        <v>0.8</v>
      </c>
      <c r="P7" s="11" t="n">
        <f aca="false">P6*Annahmen!$D$32</f>
        <v>0.8</v>
      </c>
      <c r="Q7" s="11" t="n">
        <f aca="false">Q6*Annahmen!$D$32</f>
        <v>0.8</v>
      </c>
      <c r="R7" s="11" t="n">
        <f aca="false">R6*Annahmen!$D$32</f>
        <v>0.8</v>
      </c>
      <c r="S7" s="11" t="n">
        <f aca="false">S6*Annahmen!$D$32</f>
        <v>0.8</v>
      </c>
      <c r="T7" s="11" t="n">
        <f aca="false">T6*Annahmen!$D$32</f>
        <v>0.8</v>
      </c>
      <c r="U7" s="11" t="n">
        <f aca="false">U6*Annahmen!$D$32</f>
        <v>0.8</v>
      </c>
      <c r="V7" s="11" t="n">
        <f aca="false">V6*Annahmen!$D$32</f>
        <v>0.8</v>
      </c>
      <c r="W7" s="11" t="n">
        <f aca="false">W6*Annahmen!$D$32</f>
        <v>0.8</v>
      </c>
      <c r="X7" s="11" t="n">
        <f aca="false">X6*Annahmen!$D$32</f>
        <v>0.8</v>
      </c>
      <c r="Y7" s="11" t="n">
        <f aca="false">Y6*Annahmen!$D$32</f>
        <v>0.8</v>
      </c>
    </row>
    <row r="8" customFormat="false" ht="15" hidden="false" customHeight="false" outlineLevel="0" collapsed="false">
      <c r="A8" s="4" t="s">
        <v>174</v>
      </c>
      <c r="B8" s="11" t="n">
        <f aca="false">B6*Annahmen!$D$33</f>
        <v>0.25</v>
      </c>
      <c r="C8" s="11" t="n">
        <f aca="false">C6*Annahmen!$D$33</f>
        <v>0.25</v>
      </c>
      <c r="D8" s="11" t="n">
        <f aca="false">D6*Annahmen!$D$33</f>
        <v>0.25</v>
      </c>
      <c r="E8" s="11" t="n">
        <f aca="false">E6*Annahmen!$D$33</f>
        <v>0.25</v>
      </c>
      <c r="F8" s="11" t="n">
        <f aca="false">F6*Annahmen!$D$33</f>
        <v>0.25</v>
      </c>
      <c r="G8" s="11" t="n">
        <f aca="false">G6*Annahmen!$D$33</f>
        <v>0.25</v>
      </c>
      <c r="H8" s="11" t="n">
        <f aca="false">H6*Annahmen!$D$33</f>
        <v>0.375</v>
      </c>
      <c r="I8" s="11" t="n">
        <f aca="false">I6*Annahmen!$D$33</f>
        <v>0.375</v>
      </c>
      <c r="J8" s="11" t="n">
        <f aca="false">J6*Annahmen!$D$33</f>
        <v>0.375</v>
      </c>
      <c r="K8" s="11" t="n">
        <f aca="false">K6*Annahmen!$D$33</f>
        <v>0.375</v>
      </c>
      <c r="L8" s="11" t="n">
        <f aca="false">L6*Annahmen!$D$33</f>
        <v>0.375</v>
      </c>
      <c r="M8" s="11" t="n">
        <f aca="false">M6*Annahmen!$D$33</f>
        <v>0.375</v>
      </c>
      <c r="N8" s="11" t="n">
        <f aca="false">N6*Annahmen!$D$33</f>
        <v>0.5</v>
      </c>
      <c r="O8" s="11" t="n">
        <f aca="false">O6*Annahmen!$D$33</f>
        <v>0.5</v>
      </c>
      <c r="P8" s="11" t="n">
        <f aca="false">P6*Annahmen!$D$33</f>
        <v>0.5</v>
      </c>
      <c r="Q8" s="11" t="n">
        <f aca="false">Q6*Annahmen!$D$33</f>
        <v>0.5</v>
      </c>
      <c r="R8" s="11" t="n">
        <f aca="false">R6*Annahmen!$D$33</f>
        <v>0.5</v>
      </c>
      <c r="S8" s="11" t="n">
        <f aca="false">S6*Annahmen!$D$33</f>
        <v>0.5</v>
      </c>
      <c r="T8" s="11" t="n">
        <f aca="false">T6*Annahmen!$D$33</f>
        <v>0.5</v>
      </c>
      <c r="U8" s="11" t="n">
        <f aca="false">U6*Annahmen!$D$33</f>
        <v>0.5</v>
      </c>
      <c r="V8" s="11" t="n">
        <f aca="false">V6*Annahmen!$D$33</f>
        <v>0.5</v>
      </c>
      <c r="W8" s="11" t="n">
        <f aca="false">W6*Annahmen!$D$33</f>
        <v>0.5</v>
      </c>
      <c r="X8" s="11" t="n">
        <f aca="false">X6*Annahmen!$D$33</f>
        <v>0.5</v>
      </c>
      <c r="Y8" s="11" t="n">
        <f aca="false">Y6*Annahmen!$D$33</f>
        <v>0.5</v>
      </c>
    </row>
    <row r="9" customFormat="false" ht="15" hidden="false" customHeight="false" outlineLevel="0" collapsed="false">
      <c r="A9" s="4" t="s">
        <v>175</v>
      </c>
      <c r="B9" s="7" t="n">
        <f aca="false">IF(B$3&lt;=6,Annahmen!$D$34,IF(B$3&lt;=12,Annahmen!$D$35,Annahmen!$D$36))</f>
        <v>0.1</v>
      </c>
      <c r="C9" s="7" t="n">
        <f aca="false">IF(C$3&lt;=6,Annahmen!$D$34,IF(C$3&lt;=12,Annahmen!$D$35,Annahmen!$D$36))</f>
        <v>0.1</v>
      </c>
      <c r="D9" s="7" t="n">
        <f aca="false">IF(D$3&lt;=6,Annahmen!$D$34,IF(D$3&lt;=12,Annahmen!$D$35,Annahmen!$D$36))</f>
        <v>0.1</v>
      </c>
      <c r="E9" s="7" t="n">
        <f aca="false">IF(E$3&lt;=6,Annahmen!$D$34,IF(E$3&lt;=12,Annahmen!$D$35,Annahmen!$D$36))</f>
        <v>0.1</v>
      </c>
      <c r="F9" s="7" t="n">
        <f aca="false">IF(F$3&lt;=6,Annahmen!$D$34,IF(F$3&lt;=12,Annahmen!$D$35,Annahmen!$D$36))</f>
        <v>0.1</v>
      </c>
      <c r="G9" s="7" t="n">
        <f aca="false">IF(G$3&lt;=6,Annahmen!$D$34,IF(G$3&lt;=12,Annahmen!$D$35,Annahmen!$D$36))</f>
        <v>0.1</v>
      </c>
      <c r="H9" s="7" t="n">
        <f aca="false">IF(H$3&lt;=6,Annahmen!$D$34,IF(H$3&lt;=12,Annahmen!$D$35,Annahmen!$D$36))</f>
        <v>0.25</v>
      </c>
      <c r="I9" s="7" t="n">
        <f aca="false">IF(I$3&lt;=6,Annahmen!$D$34,IF(I$3&lt;=12,Annahmen!$D$35,Annahmen!$D$36))</f>
        <v>0.25</v>
      </c>
      <c r="J9" s="7" t="n">
        <f aca="false">IF(J$3&lt;=6,Annahmen!$D$34,IF(J$3&lt;=12,Annahmen!$D$35,Annahmen!$D$36))</f>
        <v>0.25</v>
      </c>
      <c r="K9" s="7" t="n">
        <f aca="false">IF(K$3&lt;=6,Annahmen!$D$34,IF(K$3&lt;=12,Annahmen!$D$35,Annahmen!$D$36))</f>
        <v>0.25</v>
      </c>
      <c r="L9" s="7" t="n">
        <f aca="false">IF(L$3&lt;=6,Annahmen!$D$34,IF(L$3&lt;=12,Annahmen!$D$35,Annahmen!$D$36))</f>
        <v>0.25</v>
      </c>
      <c r="M9" s="7" t="n">
        <f aca="false">IF(M$3&lt;=6,Annahmen!$D$34,IF(M$3&lt;=12,Annahmen!$D$35,Annahmen!$D$36))</f>
        <v>0.25</v>
      </c>
      <c r="N9" s="7" t="n">
        <f aca="false">IF(N$3&lt;=6,Annahmen!$D$34,IF(N$3&lt;=12,Annahmen!$D$35,Annahmen!$D$36))</f>
        <v>0.35</v>
      </c>
      <c r="O9" s="7" t="n">
        <f aca="false">IF(O$3&lt;=6,Annahmen!$D$34,IF(O$3&lt;=12,Annahmen!$D$35,Annahmen!$D$36))</f>
        <v>0.35</v>
      </c>
      <c r="P9" s="7" t="n">
        <f aca="false">IF(P$3&lt;=6,Annahmen!$D$34,IF(P$3&lt;=12,Annahmen!$D$35,Annahmen!$D$36))</f>
        <v>0.35</v>
      </c>
      <c r="Q9" s="7" t="n">
        <f aca="false">IF(Q$3&lt;=6,Annahmen!$D$34,IF(Q$3&lt;=12,Annahmen!$D$35,Annahmen!$D$36))</f>
        <v>0.35</v>
      </c>
      <c r="R9" s="7" t="n">
        <f aca="false">IF(R$3&lt;=6,Annahmen!$D$34,IF(R$3&lt;=12,Annahmen!$D$35,Annahmen!$D$36))</f>
        <v>0.35</v>
      </c>
      <c r="S9" s="7" t="n">
        <f aca="false">IF(S$3&lt;=6,Annahmen!$D$34,IF(S$3&lt;=12,Annahmen!$D$35,Annahmen!$D$36))</f>
        <v>0.35</v>
      </c>
      <c r="T9" s="7" t="n">
        <f aca="false">IF(T$3&lt;=6,Annahmen!$D$34,IF(T$3&lt;=12,Annahmen!$D$35,Annahmen!$D$36))</f>
        <v>0.35</v>
      </c>
      <c r="U9" s="7" t="n">
        <f aca="false">IF(U$3&lt;=6,Annahmen!$D$34,IF(U$3&lt;=12,Annahmen!$D$35,Annahmen!$D$36))</f>
        <v>0.35</v>
      </c>
      <c r="V9" s="7" t="n">
        <f aca="false">IF(V$3&lt;=6,Annahmen!$D$34,IF(V$3&lt;=12,Annahmen!$D$35,Annahmen!$D$36))</f>
        <v>0.35</v>
      </c>
      <c r="W9" s="7" t="n">
        <f aca="false">IF(W$3&lt;=6,Annahmen!$D$34,IF(W$3&lt;=12,Annahmen!$D$35,Annahmen!$D$36))</f>
        <v>0.35</v>
      </c>
      <c r="X9" s="7" t="n">
        <f aca="false">IF(X$3&lt;=6,Annahmen!$D$34,IF(X$3&lt;=12,Annahmen!$D$35,Annahmen!$D$36))</f>
        <v>0.35</v>
      </c>
      <c r="Y9" s="7" t="n">
        <f aca="false">IF(Y$3&lt;=6,Annahmen!$D$34,IF(Y$3&lt;=12,Annahmen!$D$35,Annahmen!$D$36))</f>
        <v>0.35</v>
      </c>
    </row>
    <row r="10" customFormat="false" ht="15" hidden="false" customHeight="false" outlineLevel="0" collapsed="false">
      <c r="A10" s="22" t="s">
        <v>176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customFormat="false" ht="15" hidden="false" customHeight="false" outlineLevel="0" collapsed="false">
      <c r="A11" s="4" t="s">
        <v>177</v>
      </c>
      <c r="B11" s="11" t="n">
        <f aca="false">0*(1-Annahmen!$B$11)+B6</f>
        <v>1</v>
      </c>
      <c r="C11" s="11" t="n">
        <f aca="false">B11*(1-Annahmen!$B$11)+C6</f>
        <v>1.99</v>
      </c>
      <c r="D11" s="11" t="n">
        <f aca="false">C11*(1-Annahmen!$B$11)+D6</f>
        <v>2.9701</v>
      </c>
      <c r="E11" s="11" t="n">
        <f aca="false">D11*(1-Annahmen!$B$11)+E6</f>
        <v>3.940399</v>
      </c>
      <c r="F11" s="11" t="n">
        <f aca="false">E11*(1-Annahmen!$B$11)+F6</f>
        <v>4.90099501</v>
      </c>
      <c r="G11" s="11" t="n">
        <f aca="false">F11*(1-Annahmen!$B$11)+G6</f>
        <v>5.8519850599</v>
      </c>
      <c r="H11" s="11" t="n">
        <f aca="false">G11*(1-Annahmen!$B$11)+H6</f>
        <v>7.293465209301</v>
      </c>
      <c r="I11" s="11" t="n">
        <f aca="false">H11*(1-Annahmen!$B$11)+I6</f>
        <v>8.72053055720799</v>
      </c>
      <c r="J11" s="11" t="n">
        <f aca="false">I11*(1-Annahmen!$B$11)+J6</f>
        <v>10.1333252516359</v>
      </c>
      <c r="K11" s="11" t="n">
        <f aca="false">J11*(1-Annahmen!$B$11)+K6</f>
        <v>11.5319919991196</v>
      </c>
      <c r="L11" s="11" t="n">
        <f aca="false">K11*(1-Annahmen!$B$11)+L6</f>
        <v>12.9166720791284</v>
      </c>
      <c r="M11" s="11" t="n">
        <f aca="false">L11*(1-Annahmen!$B$11)+M6</f>
        <v>14.2875053583371</v>
      </c>
      <c r="N11" s="11" t="n">
        <f aca="false">M11*(1-Annahmen!$B$11)+N6</f>
        <v>16.1446303047537</v>
      </c>
      <c r="O11" s="11" t="n">
        <f aca="false">N11*(1-Annahmen!$B$11)+O6</f>
        <v>17.9831840017062</v>
      </c>
      <c r="P11" s="11" t="n">
        <f aca="false">O11*(1-Annahmen!$B$11)+P6</f>
        <v>19.8033521616891</v>
      </c>
      <c r="Q11" s="11" t="n">
        <f aca="false">P11*(1-Annahmen!$B$11)+Q6</f>
        <v>21.6053186400722</v>
      </c>
      <c r="R11" s="11" t="n">
        <f aca="false">Q11*(1-Annahmen!$B$11)+R6</f>
        <v>23.3892654536715</v>
      </c>
      <c r="S11" s="11" t="n">
        <f aca="false">R11*(1-Annahmen!$B$11)+S6</f>
        <v>25.1553727991348</v>
      </c>
      <c r="T11" s="11" t="n">
        <f aca="false">S11*(1-Annahmen!$B$11)+T6</f>
        <v>26.9038190711434</v>
      </c>
      <c r="U11" s="11" t="n">
        <f aca="false">T11*(1-Annahmen!$B$11)+U6</f>
        <v>28.634780880432</v>
      </c>
      <c r="V11" s="11" t="n">
        <f aca="false">U11*(1-Annahmen!$B$11)+V6</f>
        <v>30.3484330716277</v>
      </c>
      <c r="W11" s="11" t="n">
        <f aca="false">V11*(1-Annahmen!$B$11)+W6</f>
        <v>32.0449487409114</v>
      </c>
      <c r="X11" s="11" t="n">
        <f aca="false">W11*(1-Annahmen!$B$11)+X6</f>
        <v>33.7244992535023</v>
      </c>
      <c r="Y11" s="11" t="n">
        <f aca="false">X11*(1-Annahmen!$B$11)+Y6</f>
        <v>35.3872542609673</v>
      </c>
    </row>
    <row r="12" customFormat="false" ht="15" hidden="false" customHeight="false" outlineLevel="0" collapsed="false">
      <c r="A12" s="4" t="s">
        <v>178</v>
      </c>
      <c r="B12" s="11" t="n">
        <f aca="false">0*(1-Annahmen!$B$12)+B7</f>
        <v>0.4</v>
      </c>
      <c r="C12" s="11" t="n">
        <f aca="false">B12*(1-Annahmen!$B$12)+C7</f>
        <v>0.788</v>
      </c>
      <c r="D12" s="11" t="n">
        <f aca="false">C12*(1-Annahmen!$B$12)+D7</f>
        <v>1.16436</v>
      </c>
      <c r="E12" s="11" t="n">
        <f aca="false">D12*(1-Annahmen!$B$12)+E7</f>
        <v>1.5294292</v>
      </c>
      <c r="F12" s="11" t="n">
        <f aca="false">E12*(1-Annahmen!$B$12)+F7</f>
        <v>1.883546324</v>
      </c>
      <c r="G12" s="11" t="n">
        <f aca="false">F12*(1-Annahmen!$B$12)+G7</f>
        <v>2.22703993428</v>
      </c>
      <c r="H12" s="11" t="n">
        <f aca="false">G12*(1-Annahmen!$B$12)+H7</f>
        <v>2.7602287362516</v>
      </c>
      <c r="I12" s="11" t="n">
        <f aca="false">H12*(1-Annahmen!$B$12)+I7</f>
        <v>3.27742187416405</v>
      </c>
      <c r="J12" s="11" t="n">
        <f aca="false">I12*(1-Annahmen!$B$12)+J7</f>
        <v>3.77909921793913</v>
      </c>
      <c r="K12" s="11" t="n">
        <f aca="false">J12*(1-Annahmen!$B$12)+K7</f>
        <v>4.26572624140096</v>
      </c>
      <c r="L12" s="11" t="n">
        <f aca="false">K12*(1-Annahmen!$B$12)+L7</f>
        <v>4.73775445415893</v>
      </c>
      <c r="M12" s="11" t="n">
        <f aca="false">L12*(1-Annahmen!$B$12)+M7</f>
        <v>5.19562182053416</v>
      </c>
      <c r="N12" s="11" t="n">
        <f aca="false">M12*(1-Annahmen!$B$12)+N7</f>
        <v>5.83975316591814</v>
      </c>
      <c r="O12" s="11" t="n">
        <f aca="false">N12*(1-Annahmen!$B$12)+O7</f>
        <v>6.46456057094059</v>
      </c>
      <c r="P12" s="11" t="n">
        <f aca="false">O12*(1-Annahmen!$B$12)+P7</f>
        <v>7.07062375381237</v>
      </c>
      <c r="Q12" s="11" t="n">
        <f aca="false">P12*(1-Annahmen!$B$12)+Q7</f>
        <v>7.658505041198</v>
      </c>
      <c r="R12" s="11" t="n">
        <f aca="false">Q12*(1-Annahmen!$B$12)+R7</f>
        <v>8.22874988996206</v>
      </c>
      <c r="S12" s="11" t="n">
        <f aca="false">R12*(1-Annahmen!$B$12)+S7</f>
        <v>8.7818873932632</v>
      </c>
      <c r="T12" s="11" t="n">
        <f aca="false">S12*(1-Annahmen!$B$12)+T7</f>
        <v>9.3184307714653</v>
      </c>
      <c r="U12" s="11" t="n">
        <f aca="false">T12*(1-Annahmen!$B$12)+U7</f>
        <v>9.83887784832134</v>
      </c>
      <c r="V12" s="11" t="n">
        <f aca="false">U12*(1-Annahmen!$B$12)+V7</f>
        <v>10.3437115128717</v>
      </c>
      <c r="W12" s="11" t="n">
        <f aca="false">V12*(1-Annahmen!$B$12)+W7</f>
        <v>10.8334001674856</v>
      </c>
      <c r="X12" s="11" t="n">
        <f aca="false">W12*(1-Annahmen!$B$12)+X7</f>
        <v>11.308398162461</v>
      </c>
      <c r="Y12" s="11" t="n">
        <f aca="false">X12*(1-Annahmen!$B$12)+Y7</f>
        <v>11.7691462175872</v>
      </c>
    </row>
    <row r="13" customFormat="false" ht="15" hidden="false" customHeight="false" outlineLevel="0" collapsed="false">
      <c r="A13" s="4" t="s">
        <v>179</v>
      </c>
      <c r="B13" s="11" t="n">
        <f aca="false">0*(1-Annahmen!$B$13)+B8</f>
        <v>0.25</v>
      </c>
      <c r="C13" s="11" t="n">
        <f aca="false">B13*(1-Annahmen!$B$13)+C8</f>
        <v>0.49</v>
      </c>
      <c r="D13" s="11" t="n">
        <f aca="false">C13*(1-Annahmen!$B$13)+D8</f>
        <v>0.7204</v>
      </c>
      <c r="E13" s="11" t="n">
        <f aca="false">D13*(1-Annahmen!$B$13)+E8</f>
        <v>0.941584</v>
      </c>
      <c r="F13" s="11" t="n">
        <f aca="false">E13*(1-Annahmen!$B$13)+F8</f>
        <v>1.15392064</v>
      </c>
      <c r="G13" s="11" t="n">
        <f aca="false">F13*(1-Annahmen!$B$13)+G8</f>
        <v>1.3577638144</v>
      </c>
      <c r="H13" s="11" t="n">
        <f aca="false">G13*(1-Annahmen!$B$13)+H8</f>
        <v>1.678453261824</v>
      </c>
      <c r="I13" s="11" t="n">
        <f aca="false">H13*(1-Annahmen!$B$13)+I8</f>
        <v>1.98631513135104</v>
      </c>
      <c r="J13" s="11" t="n">
        <f aca="false">I13*(1-Annahmen!$B$13)+J8</f>
        <v>2.281862526097</v>
      </c>
      <c r="K13" s="11" t="n">
        <f aca="false">J13*(1-Annahmen!$B$13)+K8</f>
        <v>2.56558802505312</v>
      </c>
      <c r="L13" s="11" t="n">
        <f aca="false">K13*(1-Annahmen!$B$13)+L8</f>
        <v>2.83796450405099</v>
      </c>
      <c r="M13" s="11" t="n">
        <f aca="false">L13*(1-Annahmen!$B$13)+M8</f>
        <v>3.09944592388895</v>
      </c>
      <c r="N13" s="11" t="n">
        <f aca="false">M13*(1-Annahmen!$B$13)+N8</f>
        <v>3.4754680869334</v>
      </c>
      <c r="O13" s="11" t="n">
        <f aca="false">N13*(1-Annahmen!$B$13)+O8</f>
        <v>3.83644936345606</v>
      </c>
      <c r="P13" s="11" t="n">
        <f aca="false">O13*(1-Annahmen!$B$13)+P8</f>
        <v>4.18299138891782</v>
      </c>
      <c r="Q13" s="11" t="n">
        <f aca="false">P13*(1-Annahmen!$B$13)+Q8</f>
        <v>4.5156717333611</v>
      </c>
      <c r="R13" s="11" t="n">
        <f aca="false">Q13*(1-Annahmen!$B$13)+R8</f>
        <v>4.83504486402666</v>
      </c>
      <c r="S13" s="11" t="n">
        <f aca="false">R13*(1-Annahmen!$B$13)+S8</f>
        <v>5.14164306946559</v>
      </c>
      <c r="T13" s="11" t="n">
        <f aca="false">S13*(1-Annahmen!$B$13)+T8</f>
        <v>5.43597734668697</v>
      </c>
      <c r="U13" s="11" t="n">
        <f aca="false">T13*(1-Annahmen!$B$13)+U8</f>
        <v>5.71853825281949</v>
      </c>
      <c r="V13" s="11" t="n">
        <f aca="false">U13*(1-Annahmen!$B$13)+V8</f>
        <v>5.98979672270671</v>
      </c>
      <c r="W13" s="11" t="n">
        <f aca="false">V13*(1-Annahmen!$B$13)+W8</f>
        <v>6.25020485379844</v>
      </c>
      <c r="X13" s="11" t="n">
        <f aca="false">W13*(1-Annahmen!$B$13)+X8</f>
        <v>6.5001966596465</v>
      </c>
      <c r="Y13" s="11" t="n">
        <f aca="false">X13*(1-Annahmen!$B$13)+Y8</f>
        <v>6.74018879326064</v>
      </c>
    </row>
    <row r="14" customFormat="false" ht="15" hidden="false" customHeight="false" outlineLevel="0" collapsed="false">
      <c r="A14" s="4" t="s">
        <v>180</v>
      </c>
      <c r="B14" s="11" t="n">
        <f aca="false">0*(1-Annahmen!$B$14)+B9</f>
        <v>0.1</v>
      </c>
      <c r="C14" s="11" t="n">
        <f aca="false">B14*(1-Annahmen!$B$14)+C9</f>
        <v>0.198</v>
      </c>
      <c r="D14" s="11" t="n">
        <f aca="false">C14*(1-Annahmen!$B$14)+D9</f>
        <v>0.29404</v>
      </c>
      <c r="E14" s="11" t="n">
        <f aca="false">D14*(1-Annahmen!$B$14)+E9</f>
        <v>0.3881592</v>
      </c>
      <c r="F14" s="11" t="n">
        <f aca="false">E14*(1-Annahmen!$B$14)+F9</f>
        <v>0.480396016</v>
      </c>
      <c r="G14" s="11" t="n">
        <f aca="false">F14*(1-Annahmen!$B$14)+G9</f>
        <v>0.57078809568</v>
      </c>
      <c r="H14" s="11" t="n">
        <f aca="false">G14*(1-Annahmen!$B$14)+H9</f>
        <v>0.8093723337664</v>
      </c>
      <c r="I14" s="11" t="n">
        <f aca="false">H14*(1-Annahmen!$B$14)+I9</f>
        <v>1.04318488709107</v>
      </c>
      <c r="J14" s="11" t="n">
        <f aca="false">I14*(1-Annahmen!$B$14)+J9</f>
        <v>1.27232118934925</v>
      </c>
      <c r="K14" s="11" t="n">
        <f aca="false">J14*(1-Annahmen!$B$14)+K9</f>
        <v>1.49687476556227</v>
      </c>
      <c r="L14" s="11" t="n">
        <f aca="false">K14*(1-Annahmen!$B$14)+L9</f>
        <v>1.71693727025102</v>
      </c>
      <c r="M14" s="11" t="n">
        <f aca="false">L14*(1-Annahmen!$B$14)+M9</f>
        <v>1.932598524846</v>
      </c>
      <c r="N14" s="11" t="n">
        <f aca="false">M14*(1-Annahmen!$B$14)+N9</f>
        <v>2.24394655434908</v>
      </c>
      <c r="O14" s="11" t="n">
        <f aca="false">N14*(1-Annahmen!$B$14)+O9</f>
        <v>2.5490676232621</v>
      </c>
      <c r="P14" s="11" t="n">
        <f aca="false">O14*(1-Annahmen!$B$14)+P9</f>
        <v>2.84808627079686</v>
      </c>
      <c r="Q14" s="11" t="n">
        <f aca="false">P14*(1-Annahmen!$B$14)+Q9</f>
        <v>3.14112454538092</v>
      </c>
      <c r="R14" s="11" t="n">
        <f aca="false">Q14*(1-Annahmen!$B$14)+R9</f>
        <v>3.4283020544733</v>
      </c>
      <c r="S14" s="11" t="n">
        <f aca="false">R14*(1-Annahmen!$B$14)+S9</f>
        <v>3.70973601338384</v>
      </c>
      <c r="T14" s="11" t="n">
        <f aca="false">S14*(1-Annahmen!$B$14)+T9</f>
        <v>3.98554129311616</v>
      </c>
      <c r="U14" s="11" t="n">
        <f aca="false">T14*(1-Annahmen!$B$14)+U9</f>
        <v>4.25583046725383</v>
      </c>
      <c r="V14" s="11" t="n">
        <f aca="false">U14*(1-Annahmen!$B$14)+V9</f>
        <v>4.52071385790876</v>
      </c>
      <c r="W14" s="11" t="n">
        <f aca="false">V14*(1-Annahmen!$B$14)+W9</f>
        <v>4.78029958075058</v>
      </c>
      <c r="X14" s="11" t="n">
        <f aca="false">W14*(1-Annahmen!$B$14)+X9</f>
        <v>5.03469358913557</v>
      </c>
      <c r="Y14" s="11" t="n">
        <f aca="false">X14*(1-Annahmen!$B$14)+Y9</f>
        <v>5.28399971735286</v>
      </c>
    </row>
    <row r="15" customFormat="false" ht="15" hidden="false" customHeight="false" outlineLevel="0" collapsed="false">
      <c r="A15" s="22" t="s">
        <v>181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customFormat="false" ht="15" hidden="false" customHeight="false" outlineLevel="0" collapsed="false">
      <c r="A16" s="4" t="s">
        <v>182</v>
      </c>
      <c r="B16" s="18" t="n">
        <f aca="false">B11*Annahmen!$B$6</f>
        <v>69</v>
      </c>
      <c r="C16" s="18" t="n">
        <f aca="false">C11*Annahmen!$B$6</f>
        <v>137.31</v>
      </c>
      <c r="D16" s="18" t="n">
        <f aca="false">D11*Annahmen!$B$6</f>
        <v>204.9369</v>
      </c>
      <c r="E16" s="18" t="n">
        <f aca="false">E11*Annahmen!$B$6</f>
        <v>271.887531</v>
      </c>
      <c r="F16" s="18" t="n">
        <f aca="false">F11*Annahmen!$B$6</f>
        <v>338.16865569</v>
      </c>
      <c r="G16" s="18" t="n">
        <f aca="false">G11*Annahmen!$B$6</f>
        <v>403.7869691331</v>
      </c>
      <c r="H16" s="18" t="n">
        <f aca="false">H11*Annahmen!$B$6</f>
        <v>503.249099441769</v>
      </c>
      <c r="I16" s="18" t="n">
        <f aca="false">I11*Annahmen!$B$6</f>
        <v>601.716608447351</v>
      </c>
      <c r="J16" s="18" t="n">
        <f aca="false">J11*Annahmen!$B$6</f>
        <v>699.199442362878</v>
      </c>
      <c r="K16" s="18" t="n">
        <f aca="false">K11*Annahmen!$B$6</f>
        <v>795.707447939249</v>
      </c>
      <c r="L16" s="18" t="n">
        <f aca="false">L11*Annahmen!$B$6</f>
        <v>891.250373459857</v>
      </c>
      <c r="M16" s="18" t="n">
        <f aca="false">M11*Annahmen!$B$6</f>
        <v>985.837869725258</v>
      </c>
      <c r="N16" s="18" t="n">
        <f aca="false">N11*Annahmen!$B$6</f>
        <v>1113.97949102801</v>
      </c>
      <c r="O16" s="18" t="n">
        <f aca="false">O11*Annahmen!$B$6</f>
        <v>1240.83969611773</v>
      </c>
      <c r="P16" s="18" t="n">
        <f aca="false">P11*Annahmen!$B$6</f>
        <v>1366.43129915655</v>
      </c>
      <c r="Q16" s="18" t="n">
        <f aca="false">Q11*Annahmen!$B$6</f>
        <v>1490.76698616498</v>
      </c>
      <c r="R16" s="18" t="n">
        <f aca="false">R11*Annahmen!$B$6</f>
        <v>1613.85931630333</v>
      </c>
      <c r="S16" s="18" t="n">
        <f aca="false">S11*Annahmen!$B$6</f>
        <v>1735.7207231403</v>
      </c>
      <c r="T16" s="18" t="n">
        <f aca="false">T11*Annahmen!$B$6</f>
        <v>1856.3635159089</v>
      </c>
      <c r="U16" s="18" t="n">
        <f aca="false">U11*Annahmen!$B$6</f>
        <v>1975.79988074981</v>
      </c>
      <c r="V16" s="18" t="n">
        <f aca="false">V11*Annahmen!$B$6</f>
        <v>2094.04188194231</v>
      </c>
      <c r="W16" s="18" t="n">
        <f aca="false">W11*Annahmen!$B$6</f>
        <v>2211.10146312289</v>
      </c>
      <c r="X16" s="18" t="n">
        <f aca="false">X11*Annahmen!$B$6</f>
        <v>2326.99044849166</v>
      </c>
      <c r="Y16" s="18" t="n">
        <f aca="false">Y11*Annahmen!$B$6</f>
        <v>2441.72054400674</v>
      </c>
    </row>
    <row r="17" customFormat="false" ht="15" hidden="false" customHeight="false" outlineLevel="0" collapsed="false">
      <c r="A17" s="4" t="s">
        <v>183</v>
      </c>
      <c r="B17" s="18" t="n">
        <f aca="false">B12*Annahmen!$B$7</f>
        <v>208</v>
      </c>
      <c r="C17" s="18" t="n">
        <f aca="false">C12*Annahmen!$B$7</f>
        <v>409.76</v>
      </c>
      <c r="D17" s="18" t="n">
        <f aca="false">D12*Annahmen!$B$7</f>
        <v>605.4672</v>
      </c>
      <c r="E17" s="18" t="n">
        <f aca="false">E12*Annahmen!$B$7</f>
        <v>795.303184</v>
      </c>
      <c r="F17" s="18" t="n">
        <f aca="false">F12*Annahmen!$B$7</f>
        <v>979.44408848</v>
      </c>
      <c r="G17" s="18" t="n">
        <f aca="false">G12*Annahmen!$B$7</f>
        <v>1158.0607658256</v>
      </c>
      <c r="H17" s="18" t="n">
        <f aca="false">H12*Annahmen!$B$7</f>
        <v>1435.31894285083</v>
      </c>
      <c r="I17" s="18" t="n">
        <f aca="false">I12*Annahmen!$B$7</f>
        <v>1704.25937456531</v>
      </c>
      <c r="J17" s="18" t="n">
        <f aca="false">J12*Annahmen!$B$7</f>
        <v>1965.13159332835</v>
      </c>
      <c r="K17" s="18" t="n">
        <f aca="false">K12*Annahmen!$B$7</f>
        <v>2218.1776455285</v>
      </c>
      <c r="L17" s="18" t="n">
        <f aca="false">L12*Annahmen!$B$7</f>
        <v>2463.63231616264</v>
      </c>
      <c r="M17" s="18" t="n">
        <f aca="false">M12*Annahmen!$B$7</f>
        <v>2701.72334667776</v>
      </c>
      <c r="N17" s="18" t="n">
        <f aca="false">N12*Annahmen!$B$7</f>
        <v>3036.67164627743</v>
      </c>
      <c r="O17" s="18" t="n">
        <f aca="false">O12*Annahmen!$B$7</f>
        <v>3361.57149688911</v>
      </c>
      <c r="P17" s="18" t="n">
        <f aca="false">P12*Annahmen!$B$7</f>
        <v>3676.72435198243</v>
      </c>
      <c r="Q17" s="18" t="n">
        <f aca="false">Q12*Annahmen!$B$7</f>
        <v>3982.42262142296</v>
      </c>
      <c r="R17" s="18" t="n">
        <f aca="false">R12*Annahmen!$B$7</f>
        <v>4278.94994278027</v>
      </c>
      <c r="S17" s="18" t="n">
        <f aca="false">S12*Annahmen!$B$7</f>
        <v>4566.58144449686</v>
      </c>
      <c r="T17" s="18" t="n">
        <f aca="false">T12*Annahmen!$B$7</f>
        <v>4845.58400116196</v>
      </c>
      <c r="U17" s="18" t="n">
        <f aca="false">U12*Annahmen!$B$7</f>
        <v>5116.2164811271</v>
      </c>
      <c r="V17" s="18" t="n">
        <f aca="false">V12*Annahmen!$B$7</f>
        <v>5378.72998669329</v>
      </c>
      <c r="W17" s="18" t="n">
        <f aca="false">W12*Annahmen!$B$7</f>
        <v>5633.36808709249</v>
      </c>
      <c r="X17" s="18" t="n">
        <f aca="false">X12*Annahmen!$B$7</f>
        <v>5880.36704447971</v>
      </c>
      <c r="Y17" s="18" t="n">
        <f aca="false">Y12*Annahmen!$B$7</f>
        <v>6119.95603314532</v>
      </c>
    </row>
    <row r="18" customFormat="false" ht="15" hidden="false" customHeight="false" outlineLevel="0" collapsed="false">
      <c r="A18" s="4" t="s">
        <v>184</v>
      </c>
      <c r="B18" s="18" t="n">
        <f aca="false">B13*Annahmen!$B$8</f>
        <v>72.5</v>
      </c>
      <c r="C18" s="18" t="n">
        <f aca="false">C13*Annahmen!$B$8</f>
        <v>142.1</v>
      </c>
      <c r="D18" s="18" t="n">
        <f aca="false">D13*Annahmen!$B$8</f>
        <v>208.916</v>
      </c>
      <c r="E18" s="18" t="n">
        <f aca="false">E13*Annahmen!$B$8</f>
        <v>273.05936</v>
      </c>
      <c r="F18" s="18" t="n">
        <f aca="false">F13*Annahmen!$B$8</f>
        <v>334.6369856</v>
      </c>
      <c r="G18" s="18" t="n">
        <f aca="false">G13*Annahmen!$B$8</f>
        <v>393.751506176</v>
      </c>
      <c r="H18" s="18" t="n">
        <f aca="false">H13*Annahmen!$B$8</f>
        <v>486.75144592896</v>
      </c>
      <c r="I18" s="18" t="n">
        <f aca="false">I13*Annahmen!$B$8</f>
        <v>576.031388091802</v>
      </c>
      <c r="J18" s="18" t="n">
        <f aca="false">J13*Annahmen!$B$8</f>
        <v>661.74013256813</v>
      </c>
      <c r="K18" s="18" t="n">
        <f aca="false">K13*Annahmen!$B$8</f>
        <v>744.020527265404</v>
      </c>
      <c r="L18" s="18" t="n">
        <f aca="false">L13*Annahmen!$B$8</f>
        <v>823.009706174788</v>
      </c>
      <c r="M18" s="18" t="n">
        <f aca="false">M13*Annahmen!$B$8</f>
        <v>898.839317927797</v>
      </c>
      <c r="N18" s="18" t="n">
        <f aca="false">N13*Annahmen!$B$8</f>
        <v>1007.88574521068</v>
      </c>
      <c r="O18" s="18" t="n">
        <f aca="false">O13*Annahmen!$B$8</f>
        <v>1112.57031540226</v>
      </c>
      <c r="P18" s="18" t="n">
        <f aca="false">P13*Annahmen!$B$8</f>
        <v>1213.06750278617</v>
      </c>
      <c r="Q18" s="18" t="n">
        <f aca="false">Q13*Annahmen!$B$8</f>
        <v>1309.54480267472</v>
      </c>
      <c r="R18" s="18" t="n">
        <f aca="false">R13*Annahmen!$B$8</f>
        <v>1402.16301056773</v>
      </c>
      <c r="S18" s="18" t="n">
        <f aca="false">S13*Annahmen!$B$8</f>
        <v>1491.07649014502</v>
      </c>
      <c r="T18" s="18" t="n">
        <f aca="false">T13*Annahmen!$B$8</f>
        <v>1576.43343053922</v>
      </c>
      <c r="U18" s="18" t="n">
        <f aca="false">U13*Annahmen!$B$8</f>
        <v>1658.37609331765</v>
      </c>
      <c r="V18" s="18" t="n">
        <f aca="false">V13*Annahmen!$B$8</f>
        <v>1737.04104958495</v>
      </c>
      <c r="W18" s="18" t="n">
        <f aca="false">W13*Annahmen!$B$8</f>
        <v>1812.55940760155</v>
      </c>
      <c r="X18" s="18" t="n">
        <f aca="false">X13*Annahmen!$B$8</f>
        <v>1885.05703129749</v>
      </c>
      <c r="Y18" s="18" t="n">
        <f aca="false">Y13*Annahmen!$B$8</f>
        <v>1954.65475004559</v>
      </c>
    </row>
    <row r="19" customFormat="false" ht="15" hidden="false" customHeight="false" outlineLevel="0" collapsed="false">
      <c r="A19" s="4" t="s">
        <v>185</v>
      </c>
      <c r="B19" s="18" t="n">
        <f aca="false">B14*Annahmen!$B$10</f>
        <v>119</v>
      </c>
      <c r="C19" s="18" t="n">
        <f aca="false">C14*Annahmen!$B$10</f>
        <v>235.62</v>
      </c>
      <c r="D19" s="18" t="n">
        <f aca="false">D14*Annahmen!$B$10</f>
        <v>349.9076</v>
      </c>
      <c r="E19" s="18" t="n">
        <f aca="false">E14*Annahmen!$B$10</f>
        <v>461.909448</v>
      </c>
      <c r="F19" s="18" t="n">
        <f aca="false">F14*Annahmen!$B$10</f>
        <v>571.67125904</v>
      </c>
      <c r="G19" s="18" t="n">
        <f aca="false">G14*Annahmen!$B$10</f>
        <v>679.2378338592</v>
      </c>
      <c r="H19" s="18" t="n">
        <f aca="false">H14*Annahmen!$B$10</f>
        <v>963.153077182016</v>
      </c>
      <c r="I19" s="18" t="n">
        <f aca="false">I14*Annahmen!$B$10</f>
        <v>1241.39001563838</v>
      </c>
      <c r="J19" s="18" t="n">
        <f aca="false">J14*Annahmen!$B$10</f>
        <v>1514.06221532561</v>
      </c>
      <c r="K19" s="18" t="n">
        <f aca="false">K14*Annahmen!$B$10</f>
        <v>1781.2809710191</v>
      </c>
      <c r="L19" s="18" t="n">
        <f aca="false">L14*Annahmen!$B$10</f>
        <v>2043.15535159871</v>
      </c>
      <c r="M19" s="18" t="n">
        <f aca="false">M14*Annahmen!$B$10</f>
        <v>2299.79224456674</v>
      </c>
      <c r="N19" s="18" t="n">
        <f aca="false">N14*Annahmen!$B$10</f>
        <v>2670.2963996754</v>
      </c>
      <c r="O19" s="18" t="n">
        <f aca="false">O14*Annahmen!$B$10</f>
        <v>3033.3904716819</v>
      </c>
      <c r="P19" s="18" t="n">
        <f aca="false">P14*Annahmen!$B$10</f>
        <v>3389.22266224826</v>
      </c>
      <c r="Q19" s="18" t="n">
        <f aca="false">Q14*Annahmen!$B$10</f>
        <v>3737.93820900329</v>
      </c>
      <c r="R19" s="18" t="n">
        <f aca="false">R14*Annahmen!$B$10</f>
        <v>4079.67944482323</v>
      </c>
      <c r="S19" s="18" t="n">
        <f aca="false">S14*Annahmen!$B$10</f>
        <v>4414.58585592676</v>
      </c>
      <c r="T19" s="18" t="n">
        <f aca="false">T14*Annahmen!$B$10</f>
        <v>4742.79413880823</v>
      </c>
      <c r="U19" s="18" t="n">
        <f aca="false">U14*Annahmen!$B$10</f>
        <v>5064.43825603206</v>
      </c>
      <c r="V19" s="18" t="n">
        <f aca="false">V14*Annahmen!$B$10</f>
        <v>5379.64949091142</v>
      </c>
      <c r="W19" s="18" t="n">
        <f aca="false">W14*Annahmen!$B$10</f>
        <v>5688.55650109319</v>
      </c>
      <c r="X19" s="18" t="n">
        <f aca="false">X14*Annahmen!$B$10</f>
        <v>5991.28537107133</v>
      </c>
      <c r="Y19" s="18" t="n">
        <f aca="false">Y14*Annahmen!$B$10</f>
        <v>6287.9596636499</v>
      </c>
    </row>
    <row r="20" customFormat="false" ht="15" hidden="false" customHeight="false" outlineLevel="0" collapsed="false">
      <c r="A20" s="8" t="s">
        <v>186</v>
      </c>
      <c r="B20" s="23" t="n">
        <f aca="false">SUM(B16:B19)</f>
        <v>468.5</v>
      </c>
      <c r="C20" s="23" t="n">
        <f aca="false">SUM(C16:C19)</f>
        <v>924.79</v>
      </c>
      <c r="D20" s="23" t="n">
        <f aca="false">SUM(D16:D19)</f>
        <v>1369.2277</v>
      </c>
      <c r="E20" s="23" t="n">
        <f aca="false">SUM(E16:E19)</f>
        <v>1802.159523</v>
      </c>
      <c r="F20" s="23" t="n">
        <f aca="false">SUM(F16:F19)</f>
        <v>2223.92098881</v>
      </c>
      <c r="G20" s="23" t="n">
        <f aca="false">SUM(G16:G19)</f>
        <v>2634.8370749939</v>
      </c>
      <c r="H20" s="23" t="n">
        <f aca="false">SUM(H16:H19)</f>
        <v>3388.47256540358</v>
      </c>
      <c r="I20" s="23" t="n">
        <f aca="false">SUM(I16:I19)</f>
        <v>4123.39738674284</v>
      </c>
      <c r="J20" s="23" t="n">
        <f aca="false">SUM(J16:J19)</f>
        <v>4840.13338358496</v>
      </c>
      <c r="K20" s="23" t="n">
        <f aca="false">SUM(K16:K19)</f>
        <v>5539.18659175225</v>
      </c>
      <c r="L20" s="23" t="n">
        <f aca="false">SUM(L16:L19)</f>
        <v>6221.047747396</v>
      </c>
      <c r="M20" s="23" t="n">
        <f aca="false">SUM(M16:M19)</f>
        <v>6886.19277889756</v>
      </c>
      <c r="N20" s="23" t="n">
        <f aca="false">SUM(N16:N19)</f>
        <v>7828.83328219153</v>
      </c>
      <c r="O20" s="23" t="n">
        <f aca="false">SUM(O16:O19)</f>
        <v>8748.37198009099</v>
      </c>
      <c r="P20" s="23" t="n">
        <f aca="false">SUM(P16:P19)</f>
        <v>9645.44581617341</v>
      </c>
      <c r="Q20" s="23" t="n">
        <f aca="false">SUM(Q16:Q19)</f>
        <v>10520.672619266</v>
      </c>
      <c r="R20" s="23" t="n">
        <f aca="false">SUM(R16:R19)</f>
        <v>11374.6517144746</v>
      </c>
      <c r="S20" s="23" t="n">
        <f aca="false">SUM(S16:S19)</f>
        <v>12207.9645137089</v>
      </c>
      <c r="T20" s="23" t="n">
        <f aca="false">SUM(T16:T19)</f>
        <v>13021.1750864183</v>
      </c>
      <c r="U20" s="23" t="n">
        <f aca="false">SUM(U16:U19)</f>
        <v>13814.8307112266</v>
      </c>
      <c r="V20" s="23" t="n">
        <f aca="false">SUM(V16:V19)</f>
        <v>14589.462409132</v>
      </c>
      <c r="W20" s="23" t="n">
        <f aca="false">SUM(W16:W19)</f>
        <v>15345.5854589101</v>
      </c>
      <c r="X20" s="23" t="n">
        <f aca="false">SUM(X16:X19)</f>
        <v>16083.6998953402</v>
      </c>
      <c r="Y20" s="23" t="n">
        <f aca="false">SUM(Y16:Y19)</f>
        <v>16804.2909908476</v>
      </c>
    </row>
    <row r="21" customFormat="false" ht="15" hidden="false" customHeight="false" outlineLevel="0" collapsed="false">
      <c r="A21" s="4" t="s">
        <v>187</v>
      </c>
      <c r="B21" s="18" t="n">
        <f aca="false">B6*Annahmen!$B$5+B8*Annahmen!$B$9</f>
        <v>2297.5</v>
      </c>
      <c r="C21" s="18" t="n">
        <f aca="false">C6*Annahmen!$B$5+C8*Annahmen!$B$9</f>
        <v>2297.5</v>
      </c>
      <c r="D21" s="18" t="n">
        <f aca="false">D6*Annahmen!$B$5+D8*Annahmen!$B$9</f>
        <v>2297.5</v>
      </c>
      <c r="E21" s="18" t="n">
        <f aca="false">E6*Annahmen!$B$5+E8*Annahmen!$B$9</f>
        <v>2297.5</v>
      </c>
      <c r="F21" s="18" t="n">
        <f aca="false">F6*Annahmen!$B$5+F8*Annahmen!$B$9</f>
        <v>2297.5</v>
      </c>
      <c r="G21" s="18" t="n">
        <f aca="false">G6*Annahmen!$B$5+G8*Annahmen!$B$9</f>
        <v>2297.5</v>
      </c>
      <c r="H21" s="18" t="n">
        <f aca="false">H6*Annahmen!$B$5+H8*Annahmen!$B$9</f>
        <v>3446.25</v>
      </c>
      <c r="I21" s="18" t="n">
        <f aca="false">I6*Annahmen!$B$5+I8*Annahmen!$B$9</f>
        <v>3446.25</v>
      </c>
      <c r="J21" s="18" t="n">
        <f aca="false">J6*Annahmen!$B$5+J8*Annahmen!$B$9</f>
        <v>3446.25</v>
      </c>
      <c r="K21" s="18" t="n">
        <f aca="false">K6*Annahmen!$B$5+K8*Annahmen!$B$9</f>
        <v>3446.25</v>
      </c>
      <c r="L21" s="18" t="n">
        <f aca="false">L6*Annahmen!$B$5+L8*Annahmen!$B$9</f>
        <v>3446.25</v>
      </c>
      <c r="M21" s="18" t="n">
        <f aca="false">M6*Annahmen!$B$5+M8*Annahmen!$B$9</f>
        <v>3446.25</v>
      </c>
      <c r="N21" s="18" t="n">
        <f aca="false">N6*Annahmen!$B$5+N8*Annahmen!$B$9</f>
        <v>4595</v>
      </c>
      <c r="O21" s="18" t="n">
        <f aca="false">O6*Annahmen!$B$5+O8*Annahmen!$B$9</f>
        <v>4595</v>
      </c>
      <c r="P21" s="18" t="n">
        <f aca="false">P6*Annahmen!$B$5+P8*Annahmen!$B$9</f>
        <v>4595</v>
      </c>
      <c r="Q21" s="18" t="n">
        <f aca="false">Q6*Annahmen!$B$5+Q8*Annahmen!$B$9</f>
        <v>4595</v>
      </c>
      <c r="R21" s="18" t="n">
        <f aca="false">R6*Annahmen!$B$5+R8*Annahmen!$B$9</f>
        <v>4595</v>
      </c>
      <c r="S21" s="18" t="n">
        <f aca="false">S6*Annahmen!$B$5+S8*Annahmen!$B$9</f>
        <v>4595</v>
      </c>
      <c r="T21" s="18" t="n">
        <f aca="false">T6*Annahmen!$B$5+T8*Annahmen!$B$9</f>
        <v>4595</v>
      </c>
      <c r="U21" s="18" t="n">
        <f aca="false">U6*Annahmen!$B$5+U8*Annahmen!$B$9</f>
        <v>4595</v>
      </c>
      <c r="V21" s="18" t="n">
        <f aca="false">V6*Annahmen!$B$5+V8*Annahmen!$B$9</f>
        <v>4595</v>
      </c>
      <c r="W21" s="18" t="n">
        <f aca="false">W6*Annahmen!$B$5+W8*Annahmen!$B$9</f>
        <v>4595</v>
      </c>
      <c r="X21" s="18" t="n">
        <f aca="false">X6*Annahmen!$B$5+X8*Annahmen!$B$9</f>
        <v>4595</v>
      </c>
      <c r="Y21" s="18" t="n">
        <f aca="false">Y6*Annahmen!$B$5+Y8*Annahmen!$B$9</f>
        <v>4595</v>
      </c>
    </row>
    <row r="22" customFormat="false" ht="15" hidden="false" customHeight="false" outlineLevel="0" collapsed="false">
      <c r="A22" s="8" t="s">
        <v>188</v>
      </c>
      <c r="B22" s="23" t="n">
        <f aca="false">B20+B21</f>
        <v>2766</v>
      </c>
      <c r="C22" s="23" t="n">
        <f aca="false">C20+C21</f>
        <v>3222.29</v>
      </c>
      <c r="D22" s="23" t="n">
        <f aca="false">D20+D21</f>
        <v>3666.7277</v>
      </c>
      <c r="E22" s="23" t="n">
        <f aca="false">E20+E21</f>
        <v>4099.659523</v>
      </c>
      <c r="F22" s="23" t="n">
        <f aca="false">F20+F21</f>
        <v>4521.42098881</v>
      </c>
      <c r="G22" s="23" t="n">
        <f aca="false">G20+G21</f>
        <v>4932.3370749939</v>
      </c>
      <c r="H22" s="23" t="n">
        <f aca="false">H20+H21</f>
        <v>6834.72256540358</v>
      </c>
      <c r="I22" s="23" t="n">
        <f aca="false">I20+I21</f>
        <v>7569.64738674284</v>
      </c>
      <c r="J22" s="23" t="n">
        <f aca="false">J20+J21</f>
        <v>8286.38338358496</v>
      </c>
      <c r="K22" s="23" t="n">
        <f aca="false">K20+K21</f>
        <v>8985.43659175225</v>
      </c>
      <c r="L22" s="23" t="n">
        <f aca="false">L20+L21</f>
        <v>9667.297747396</v>
      </c>
      <c r="M22" s="23" t="n">
        <f aca="false">M20+M21</f>
        <v>10332.4427788976</v>
      </c>
      <c r="N22" s="23" t="n">
        <f aca="false">N20+N21</f>
        <v>12423.8332821915</v>
      </c>
      <c r="O22" s="23" t="n">
        <f aca="false">O20+O21</f>
        <v>13343.371980091</v>
      </c>
      <c r="P22" s="23" t="n">
        <f aca="false">P20+P21</f>
        <v>14240.4458161734</v>
      </c>
      <c r="Q22" s="23" t="n">
        <f aca="false">Q20+Q21</f>
        <v>15115.672619266</v>
      </c>
      <c r="R22" s="23" t="n">
        <f aca="false">R20+R21</f>
        <v>15969.6517144746</v>
      </c>
      <c r="S22" s="23" t="n">
        <f aca="false">S20+S21</f>
        <v>16802.9645137089</v>
      </c>
      <c r="T22" s="23" t="n">
        <f aca="false">T20+T21</f>
        <v>17616.1750864183</v>
      </c>
      <c r="U22" s="23" t="n">
        <f aca="false">U20+U21</f>
        <v>18409.8307112266</v>
      </c>
      <c r="V22" s="23" t="n">
        <f aca="false">V20+V21</f>
        <v>19184.462409132</v>
      </c>
      <c r="W22" s="23" t="n">
        <f aca="false">W20+W21</f>
        <v>19940.5854589101</v>
      </c>
      <c r="X22" s="23" t="n">
        <f aca="false">X20+X21</f>
        <v>20678.6998953402</v>
      </c>
      <c r="Y22" s="23" t="n">
        <f aca="false">Y20+Y21</f>
        <v>21399.2909908476</v>
      </c>
    </row>
    <row r="23" customFormat="false" ht="15" hidden="false" customHeight="false" outlineLevel="0" collapsed="false">
      <c r="A23" s="22" t="s">
        <v>189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customFormat="false" ht="15" hidden="false" customHeight="false" outlineLevel="0" collapsed="false">
      <c r="A24" s="4" t="s">
        <v>190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191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192</v>
      </c>
      <c r="B26" s="11" t="n">
        <f aca="false">B6*Annahmen!$B$18+B12*Annahmen!$B$19+B14*Annahmen!$B$20</f>
        <v>9.3</v>
      </c>
      <c r="C26" s="11" t="n">
        <f aca="false">C6*Annahmen!$B$18+C12*Annahmen!$B$19+C14*Annahmen!$B$20</f>
        <v>10.566</v>
      </c>
      <c r="D26" s="11" t="n">
        <f aca="false">D6*Annahmen!$B$18+D12*Annahmen!$B$19+D14*Annahmen!$B$20</f>
        <v>11.79892</v>
      </c>
      <c r="E26" s="11" t="n">
        <f aca="false">E6*Annahmen!$B$18+E12*Annahmen!$B$19+E14*Annahmen!$B$20</f>
        <v>12.9996544</v>
      </c>
      <c r="F26" s="11" t="n">
        <f aca="false">F6*Annahmen!$B$18+F12*Annahmen!$B$19+F14*Annahmen!$B$20</f>
        <v>14.169072728</v>
      </c>
      <c r="G26" s="11" t="n">
        <f aca="false">G6*Annahmen!$B$18+G12*Annahmen!$B$19+G14*Annahmen!$B$20</f>
        <v>15.30802034696</v>
      </c>
      <c r="H26" s="11" t="n">
        <f aca="false">H6*Annahmen!$B$18+H12*Annahmen!$B$19+H14*Annahmen!$B$20</f>
        <v>21.5673191413352</v>
      </c>
      <c r="I26" s="11" t="n">
        <f aca="false">I6*Annahmen!$B$18+I12*Annahmen!$B$19+I14*Annahmen!$B$20</f>
        <v>23.7707681837835</v>
      </c>
      <c r="J26" s="11" t="n">
        <f aca="false">J6*Annahmen!$B$18+J12*Annahmen!$B$19+J14*Annahmen!$B$20</f>
        <v>25.9198043826245</v>
      </c>
      <c r="K26" s="11" t="n">
        <f aca="false">K6*Annahmen!$B$18+K12*Annahmen!$B$19+K14*Annahmen!$B$20</f>
        <v>28.0158263106132</v>
      </c>
      <c r="L26" s="11" t="n">
        <f aca="false">L6*Annahmen!$B$18+L12*Annahmen!$B$19+L14*Annahmen!$B$20</f>
        <v>30.060195259573</v>
      </c>
      <c r="M26" s="11" t="n">
        <f aca="false">M6*Annahmen!$B$18+M12*Annahmen!$B$19+M14*Annahmen!$B$20</f>
        <v>32.0542362652983</v>
      </c>
      <c r="N26" s="11" t="n">
        <f aca="false">N6*Annahmen!$B$18+N12*Annahmen!$B$19+N14*Annahmen!$B$20</f>
        <v>38.8992391035817</v>
      </c>
      <c r="O26" s="11" t="n">
        <f aca="false">O6*Annahmen!$B$18+O12*Annahmen!$B$19+O14*Annahmen!$B$20</f>
        <v>41.6744592581917</v>
      </c>
      <c r="P26" s="11" t="n">
        <f aca="false">P6*Annahmen!$B$18+P12*Annahmen!$B$19+P14*Annahmen!$B$20</f>
        <v>44.381678861609</v>
      </c>
      <c r="Q26" s="11" t="n">
        <f aca="false">Q6*Annahmen!$B$18+Q12*Annahmen!$B$19+Q14*Annahmen!$B$20</f>
        <v>47.0226328093006</v>
      </c>
      <c r="R26" s="11" t="n">
        <f aca="false">R6*Annahmen!$B$18+R12*Annahmen!$B$19+R14*Annahmen!$B$20</f>
        <v>49.5990100522906</v>
      </c>
      <c r="S26" s="11" t="n">
        <f aca="false">S6*Annahmen!$B$18+S12*Annahmen!$B$19+S14*Annahmen!$B$20</f>
        <v>52.1124548534456</v>
      </c>
      <c r="T26" s="11" t="n">
        <f aca="false">T6*Annahmen!$B$18+T12*Annahmen!$B$19+T14*Annahmen!$B$20</f>
        <v>54.5645680085114</v>
      </c>
      <c r="U26" s="11" t="n">
        <f aca="false">U6*Annahmen!$B$18+U12*Annahmen!$B$19+U14*Annahmen!$B$20</f>
        <v>56.9569080329119</v>
      </c>
      <c r="V26" s="11" t="n">
        <f aca="false">V6*Annahmen!$B$18+V12*Annahmen!$B$19+V14*Annahmen!$B$20</f>
        <v>59.2909923152872</v>
      </c>
      <c r="W26" s="11" t="n">
        <f aca="false">W6*Annahmen!$B$18+W12*Annahmen!$B$19+W14*Annahmen!$B$20</f>
        <v>61.568298238724</v>
      </c>
      <c r="X26" s="11" t="n">
        <f aca="false">X6*Annahmen!$B$18+X12*Annahmen!$B$19+X14*Annahmen!$B$20</f>
        <v>63.7902642705998</v>
      </c>
      <c r="Y26" s="11" t="n">
        <f aca="false">Y6*Annahmen!$B$18+Y12*Annahmen!$B$19+Y14*Annahmen!$B$20</f>
        <v>65.9582910219386</v>
      </c>
    </row>
    <row r="27" customFormat="false" ht="15" hidden="false" customHeight="false" outlineLevel="0" collapsed="false">
      <c r="A27" s="4" t="s">
        <v>193</v>
      </c>
      <c r="B27" s="18" t="n">
        <f aca="false">B26*Annahmen!$B$17</f>
        <v>418.5</v>
      </c>
      <c r="C27" s="18" t="n">
        <f aca="false">C26*Annahmen!$B$17</f>
        <v>475.47</v>
      </c>
      <c r="D27" s="18" t="n">
        <f aca="false">D26*Annahmen!$B$17</f>
        <v>530.9514</v>
      </c>
      <c r="E27" s="18" t="n">
        <f aca="false">E26*Annahmen!$B$17</f>
        <v>584.984448</v>
      </c>
      <c r="F27" s="18" t="n">
        <f aca="false">F26*Annahmen!$B$17</f>
        <v>637.60827276</v>
      </c>
      <c r="G27" s="18" t="n">
        <f aca="false">G26*Annahmen!$B$17</f>
        <v>688.8609156132</v>
      </c>
      <c r="H27" s="18" t="n">
        <f aca="false">H26*Annahmen!$B$17</f>
        <v>970.529361360084</v>
      </c>
      <c r="I27" s="18" t="n">
        <f aca="false">I26*Annahmen!$B$17</f>
        <v>1069.68456827026</v>
      </c>
      <c r="J27" s="18" t="n">
        <f aca="false">J26*Annahmen!$B$17</f>
        <v>1166.3911972181</v>
      </c>
      <c r="K27" s="18" t="n">
        <f aca="false">K26*Annahmen!$B$17</f>
        <v>1260.7121839776</v>
      </c>
      <c r="L27" s="18" t="n">
        <f aca="false">L26*Annahmen!$B$17</f>
        <v>1352.70878668078</v>
      </c>
      <c r="M27" s="18" t="n">
        <f aca="false">M26*Annahmen!$B$17</f>
        <v>1442.44063193842</v>
      </c>
      <c r="N27" s="18" t="n">
        <f aca="false">N26*Annahmen!$B$17</f>
        <v>1750.46575966118</v>
      </c>
      <c r="O27" s="18" t="n">
        <f aca="false">O26*Annahmen!$B$17</f>
        <v>1875.35066661863</v>
      </c>
      <c r="P27" s="18" t="n">
        <f aca="false">P26*Annahmen!$B$17</f>
        <v>1997.17554877241</v>
      </c>
      <c r="Q27" s="18" t="n">
        <f aca="false">Q26*Annahmen!$B$17</f>
        <v>2116.01847641853</v>
      </c>
      <c r="R27" s="18" t="n">
        <f aca="false">R26*Annahmen!$B$17</f>
        <v>2231.95545235308</v>
      </c>
      <c r="S27" s="18" t="n">
        <f aca="false">S26*Annahmen!$B$17</f>
        <v>2345.06046840505</v>
      </c>
      <c r="T27" s="18" t="n">
        <f aca="false">T26*Annahmen!$B$17</f>
        <v>2455.40556038301</v>
      </c>
      <c r="U27" s="18" t="n">
        <f aca="false">U26*Annahmen!$B$17</f>
        <v>2563.06086148103</v>
      </c>
      <c r="V27" s="18" t="n">
        <f aca="false">V26*Annahmen!$B$17</f>
        <v>2668.09465418792</v>
      </c>
      <c r="W27" s="18" t="n">
        <f aca="false">W26*Annahmen!$B$17</f>
        <v>2770.57342074258</v>
      </c>
      <c r="X27" s="18" t="n">
        <f aca="false">X26*Annahmen!$B$17</f>
        <v>2870.56189217699</v>
      </c>
      <c r="Y27" s="18" t="n">
        <f aca="false">Y26*Annahmen!$B$17</f>
        <v>2968.12309598724</v>
      </c>
    </row>
    <row r="28" customFormat="false" ht="15" hidden="false" customHeight="false" outlineLevel="0" collapsed="false">
      <c r="A28" s="8" t="s">
        <v>99</v>
      </c>
      <c r="B28" s="23" t="n">
        <f aca="false">B24+B25+B27</f>
        <v>773.5</v>
      </c>
      <c r="C28" s="23" t="n">
        <f aca="false">C24+C25+C27</f>
        <v>830.47</v>
      </c>
      <c r="D28" s="23" t="n">
        <f aca="false">D24+D25+D27</f>
        <v>885.9514</v>
      </c>
      <c r="E28" s="23" t="n">
        <f aca="false">E24+E25+E27</f>
        <v>939.984448</v>
      </c>
      <c r="F28" s="23" t="n">
        <f aca="false">F24+F25+F27</f>
        <v>992.60827276</v>
      </c>
      <c r="G28" s="23" t="n">
        <f aca="false">G24+G25+G27</f>
        <v>1043.8609156132</v>
      </c>
      <c r="H28" s="23" t="n">
        <f aca="false">H24+H25+H27</f>
        <v>1325.52936136008</v>
      </c>
      <c r="I28" s="23" t="n">
        <f aca="false">I24+I25+I27</f>
        <v>1424.68456827026</v>
      </c>
      <c r="J28" s="23" t="n">
        <f aca="false">J24+J25+J27</f>
        <v>1521.3911972181</v>
      </c>
      <c r="K28" s="23" t="n">
        <f aca="false">K24+K25+K27</f>
        <v>1615.7121839776</v>
      </c>
      <c r="L28" s="23" t="n">
        <f aca="false">L24+L25+L27</f>
        <v>1707.70878668078</v>
      </c>
      <c r="M28" s="23" t="n">
        <f aca="false">M24+M25+M27</f>
        <v>1797.44063193842</v>
      </c>
      <c r="N28" s="23" t="n">
        <f aca="false">N24+N25+N27</f>
        <v>2105.46575966118</v>
      </c>
      <c r="O28" s="23" t="n">
        <f aca="false">O24+O25+O27</f>
        <v>2230.35066661863</v>
      </c>
      <c r="P28" s="23" t="n">
        <f aca="false">P24+P25+P27</f>
        <v>2352.17554877241</v>
      </c>
      <c r="Q28" s="23" t="n">
        <f aca="false">Q24+Q25+Q27</f>
        <v>2471.01847641853</v>
      </c>
      <c r="R28" s="23" t="n">
        <f aca="false">R24+R25+R27</f>
        <v>2586.95545235308</v>
      </c>
      <c r="S28" s="23" t="n">
        <f aca="false">S24+S25+S27</f>
        <v>2700.06046840505</v>
      </c>
      <c r="T28" s="23" t="n">
        <f aca="false">T24+T25+T27</f>
        <v>2810.40556038301</v>
      </c>
      <c r="U28" s="23" t="n">
        <f aca="false">U24+U25+U27</f>
        <v>2918.06086148103</v>
      </c>
      <c r="V28" s="23" t="n">
        <f aca="false">V24+V25+V27</f>
        <v>3023.09465418792</v>
      </c>
      <c r="W28" s="23" t="n">
        <f aca="false">W24+W25+W27</f>
        <v>3125.57342074258</v>
      </c>
      <c r="X28" s="23" t="n">
        <f aca="false">X24+X25+X27</f>
        <v>3225.56189217699</v>
      </c>
      <c r="Y28" s="23" t="n">
        <f aca="false">Y24+Y25+Y27</f>
        <v>3323.12309598724</v>
      </c>
    </row>
    <row r="29" customFormat="false" ht="15" hidden="false" customHeight="false" outlineLevel="0" collapsed="false">
      <c r="A29" s="22" t="s">
        <v>194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customFormat="false" ht="15" hidden="false" customHeight="false" outlineLevel="0" collapsed="false">
      <c r="A30" s="8" t="s">
        <v>195</v>
      </c>
      <c r="B30" s="23" t="n">
        <f aca="false">B22-B28</f>
        <v>1992.5</v>
      </c>
      <c r="C30" s="23" t="n">
        <f aca="false">C22-C28</f>
        <v>2391.82</v>
      </c>
      <c r="D30" s="23" t="n">
        <f aca="false">D22-D28</f>
        <v>2780.7763</v>
      </c>
      <c r="E30" s="23" t="n">
        <f aca="false">E22-E28</f>
        <v>3159.675075</v>
      </c>
      <c r="F30" s="23" t="n">
        <f aca="false">F22-F28</f>
        <v>3528.81271605</v>
      </c>
      <c r="G30" s="23" t="n">
        <f aca="false">G22-G28</f>
        <v>3888.4761593807</v>
      </c>
      <c r="H30" s="23" t="n">
        <f aca="false">H22-H28</f>
        <v>5509.19320404349</v>
      </c>
      <c r="I30" s="23" t="n">
        <f aca="false">I22-I28</f>
        <v>6144.96281847258</v>
      </c>
      <c r="J30" s="23" t="n">
        <f aca="false">J22-J28</f>
        <v>6764.99218636686</v>
      </c>
      <c r="K30" s="23" t="n">
        <f aca="false">K22-K28</f>
        <v>7369.72440777465</v>
      </c>
      <c r="L30" s="23" t="n">
        <f aca="false">L22-L28</f>
        <v>7959.58896071522</v>
      </c>
      <c r="M30" s="23" t="n">
        <f aca="false">M22-M28</f>
        <v>8535.00214695913</v>
      </c>
      <c r="N30" s="23" t="n">
        <f aca="false">N22-N28</f>
        <v>10318.3675225303</v>
      </c>
      <c r="O30" s="23" t="n">
        <f aca="false">O22-O28</f>
        <v>11113.0213134724</v>
      </c>
      <c r="P30" s="23" t="n">
        <f aca="false">P22-P28</f>
        <v>11888.270267401</v>
      </c>
      <c r="Q30" s="23" t="n">
        <f aca="false">Q22-Q28</f>
        <v>12644.6541428474</v>
      </c>
      <c r="R30" s="23" t="n">
        <f aca="false">R22-R28</f>
        <v>13382.6962621215</v>
      </c>
      <c r="S30" s="23" t="n">
        <f aca="false">S22-S28</f>
        <v>14102.9040453039</v>
      </c>
      <c r="T30" s="23" t="n">
        <f aca="false">T22-T28</f>
        <v>14805.7695260353</v>
      </c>
      <c r="U30" s="23" t="n">
        <f aca="false">U22-U28</f>
        <v>15491.7698497456</v>
      </c>
      <c r="V30" s="23" t="n">
        <f aca="false">V22-V28</f>
        <v>16161.367754944</v>
      </c>
      <c r="W30" s="23" t="n">
        <f aca="false">W22-W28</f>
        <v>16815.0120381675</v>
      </c>
      <c r="X30" s="23" t="n">
        <f aca="false">X22-X28</f>
        <v>17453.1380031632</v>
      </c>
      <c r="Y30" s="23" t="n">
        <f aca="false">Y22-Y28</f>
        <v>18076.1678948603</v>
      </c>
    </row>
    <row r="31" customFormat="false" ht="15" hidden="false" customHeight="false" outlineLevel="0" collapsed="false">
      <c r="A31" s="8" t="s">
        <v>104</v>
      </c>
      <c r="B31" s="17" t="n">
        <f aca="false">0+B30</f>
        <v>1992.5</v>
      </c>
      <c r="C31" s="17" t="n">
        <f aca="false">B31+C30</f>
        <v>4384.32</v>
      </c>
      <c r="D31" s="17" t="n">
        <f aca="false">C31+D30</f>
        <v>7165.0963</v>
      </c>
      <c r="E31" s="17" t="n">
        <f aca="false">D31+E30</f>
        <v>10324.771375</v>
      </c>
      <c r="F31" s="17" t="n">
        <f aca="false">E31+F30</f>
        <v>13853.58409105</v>
      </c>
      <c r="G31" s="17" t="n">
        <f aca="false">F31+G30</f>
        <v>17742.0602504307</v>
      </c>
      <c r="H31" s="17" t="n">
        <f aca="false">G31+H30</f>
        <v>23251.2534544742</v>
      </c>
      <c r="I31" s="17" t="n">
        <f aca="false">H31+I30</f>
        <v>29396.2162729468</v>
      </c>
      <c r="J31" s="17" t="n">
        <f aca="false">I31+J30</f>
        <v>36161.2084593136</v>
      </c>
      <c r="K31" s="17" t="n">
        <f aca="false">J31+K30</f>
        <v>43530.9328670883</v>
      </c>
      <c r="L31" s="17" t="n">
        <f aca="false">K31+L30</f>
        <v>51490.5218278035</v>
      </c>
      <c r="M31" s="17" t="n">
        <f aca="false">L31+M30</f>
        <v>60025.5239747626</v>
      </c>
      <c r="N31" s="17" t="n">
        <f aca="false">M31+N30</f>
        <v>70343.891497293</v>
      </c>
      <c r="O31" s="17" t="n">
        <f aca="false">N31+O30</f>
        <v>81456.9128107653</v>
      </c>
      <c r="P31" s="17" t="n">
        <f aca="false">O31+P30</f>
        <v>93345.1830781663</v>
      </c>
      <c r="Q31" s="17" t="n">
        <f aca="false">P31+Q30</f>
        <v>105989.837221014</v>
      </c>
      <c r="R31" s="17" t="n">
        <f aca="false">Q31+R30</f>
        <v>119372.533483135</v>
      </c>
      <c r="S31" s="17" t="n">
        <f aca="false">R31+S30</f>
        <v>133475.437528439</v>
      </c>
      <c r="T31" s="17" t="n">
        <f aca="false">S31+T30</f>
        <v>148281.207054474</v>
      </c>
      <c r="U31" s="17" t="n">
        <f aca="false">T31+U30</f>
        <v>163772.97690422</v>
      </c>
      <c r="V31" s="17" t="n">
        <f aca="false">U31+V30</f>
        <v>179934.344659164</v>
      </c>
      <c r="W31" s="17" t="n">
        <f aca="false">V31+W30</f>
        <v>196749.356697332</v>
      </c>
      <c r="X31" s="17" t="n">
        <f aca="false">W31+X30</f>
        <v>214202.494700495</v>
      </c>
      <c r="Y31" s="17" t="n">
        <f aca="false">X31+Y30</f>
        <v>232278.662595355</v>
      </c>
    </row>
    <row r="32" customFormat="false" ht="15" hidden="false" customHeight="false" outlineLevel="0" collapsed="false">
      <c r="A32" s="4" t="s">
        <v>196</v>
      </c>
      <c r="B32" s="11" t="n">
        <f aca="false">B6*Annahmen!$B$21+B12*Annahmen!$B$22+B13*Annahmen!$B$23+B14*Annahmen!$B$24+B11*Annahmen!$B$25</f>
        <v>23.15</v>
      </c>
      <c r="C32" s="11" t="n">
        <f aca="false">C6*Annahmen!$B$21+C12*Annahmen!$B$22+C13*Annahmen!$B$23+C14*Annahmen!$B$24+C11*Annahmen!$B$25</f>
        <v>26.2135</v>
      </c>
      <c r="D32" s="11" t="n">
        <f aca="false">D6*Annahmen!$B$21+D12*Annahmen!$B$22+D13*Annahmen!$B$23+D14*Annahmen!$B$24+D11*Annahmen!$B$25</f>
        <v>29.193085</v>
      </c>
      <c r="E32" s="11" t="n">
        <f aca="false">E6*Annahmen!$B$21+E12*Annahmen!$B$22+E13*Annahmen!$B$23+E14*Annahmen!$B$24+E11*Annahmen!$B$25</f>
        <v>32.09125815</v>
      </c>
      <c r="F32" s="11" t="n">
        <f aca="false">F6*Annahmen!$B$21+F12*Annahmen!$B$22+F13*Annahmen!$B$23+F14*Annahmen!$B$24+F11*Annahmen!$B$25</f>
        <v>34.9104434565</v>
      </c>
      <c r="G32" s="11" t="n">
        <f aca="false">G6*Annahmen!$B$21+G12*Annahmen!$B$22+G13*Annahmen!$B$23+G14*Annahmen!$B$24+G11*Annahmen!$B$25</f>
        <v>37.652988396335</v>
      </c>
      <c r="H32" s="11" t="n">
        <f aca="false">H6*Annahmen!$B$21+H12*Annahmen!$B$22+H13*Annahmen!$B$23+H14*Annahmen!$B$24+H11*Annahmen!$B$25</f>
        <v>52.6961664411109</v>
      </c>
      <c r="I32" s="11" t="n">
        <f aca="false">I6*Annahmen!$B$21+I12*Annahmen!$B$22+I13*Annahmen!$B$23+I14*Annahmen!$B$24+I11*Annahmen!$B$25</f>
        <v>57.6079294953889</v>
      </c>
      <c r="J32" s="11" t="n">
        <f aca="false">J6*Annahmen!$B$21+J12*Annahmen!$B$22+J13*Annahmen!$B$23+J14*Annahmen!$B$24+J11*Annahmen!$B$25</f>
        <v>62.3920227516535</v>
      </c>
      <c r="K32" s="11" t="n">
        <f aca="false">K6*Annahmen!$B$21+K12*Annahmen!$B$22+K13*Annahmen!$B$23+K14*Annahmen!$B$24+K11*Annahmen!$B$25</f>
        <v>67.0520771399881</v>
      </c>
      <c r="L32" s="11" t="n">
        <f aca="false">L6*Annahmen!$B$21+L12*Annahmen!$B$22+L13*Annahmen!$B$23+L14*Annahmen!$B$24+L11*Annahmen!$B$25</f>
        <v>71.591613006528</v>
      </c>
      <c r="M32" s="11" t="n">
        <f aca="false">M6*Annahmen!$B$21+M12*Annahmen!$B$22+M13*Annahmen!$B$23+M14*Annahmen!$B$24+M11*Annahmen!$B$25</f>
        <v>76.0140436682668</v>
      </c>
      <c r="N32" s="11" t="n">
        <f aca="false">N6*Annahmen!$B$21+N12*Annahmen!$B$22+N13*Annahmen!$B$23+N14*Annahmen!$B$24+N11*Annahmen!$B$25</f>
        <v>92.2976788485204</v>
      </c>
      <c r="O32" s="11" t="n">
        <f aca="false">O6*Annahmen!$B$21+O12*Annahmen!$B$22+O13*Annahmen!$B$23+O14*Annahmen!$B$24+O11*Annahmen!$B$25</f>
        <v>98.4194779971978</v>
      </c>
      <c r="P32" s="11" t="n">
        <f aca="false">P6*Annahmen!$B$21+P12*Annahmen!$B$22+P13*Annahmen!$B$23+P14*Annahmen!$B$24+P11*Annahmen!$B$25</f>
        <v>104.384005999882</v>
      </c>
      <c r="Q32" s="11" t="n">
        <f aca="false">Q6*Annahmen!$B$21+Q12*Annahmen!$B$22+Q13*Annahmen!$B$23+Q14*Annahmen!$B$24+Q11*Annahmen!$B$25</f>
        <v>110.19568965458</v>
      </c>
      <c r="R32" s="11" t="n">
        <f aca="false">R6*Annahmen!$B$21+R12*Annahmen!$B$22+R13*Annahmen!$B$23+R14*Annahmen!$B$24+R11*Annahmen!$B$25</f>
        <v>115.858822087106</v>
      </c>
      <c r="S32" s="11" t="n">
        <f aca="false">S6*Annahmen!$B$21+S12*Annahmen!$B$22+S13*Annahmen!$B$23+S14*Annahmen!$B$24+S11*Annahmen!$B$25</f>
        <v>121.377567018838</v>
      </c>
      <c r="T32" s="11" t="n">
        <f aca="false">T6*Annahmen!$B$21+T12*Annahmen!$B$22+T13*Annahmen!$B$23+T14*Annahmen!$B$24+T11*Annahmen!$B$25</f>
        <v>126.75596289195</v>
      </c>
      <c r="U32" s="11" t="n">
        <f aca="false">U6*Annahmen!$B$21+U12*Annahmen!$B$22+U13*Annahmen!$B$23+U14*Annahmen!$B$24+U11*Annahmen!$B$25</f>
        <v>131.997926857063</v>
      </c>
      <c r="V32" s="11" t="n">
        <f aca="false">V6*Annahmen!$B$21+V12*Annahmen!$B$22+V13*Annahmen!$B$23+V14*Annahmen!$B$24+V11*Annahmen!$B$25</f>
        <v>137.107258628077</v>
      </c>
      <c r="W32" s="11" t="n">
        <f aca="false">W6*Annahmen!$B$21+W12*Annahmen!$B$22+W13*Annahmen!$B$23+W14*Annahmen!$B$24+W11*Annahmen!$B$25</f>
        <v>142.087644208772</v>
      </c>
      <c r="X32" s="11" t="n">
        <f aca="false">X6*Annahmen!$B$21+X12*Annahmen!$B$22+X13*Annahmen!$B$23+X14*Annahmen!$B$24+X11*Annahmen!$B$25</f>
        <v>146.942659495597</v>
      </c>
      <c r="Y32" s="11" t="n">
        <f aca="false">Y6*Annahmen!$B$21+Y12*Annahmen!$B$22+Y13*Annahmen!$B$23+Y14*Annahmen!$B$24+Y11*Annahmen!$B$25</f>
        <v>151.675773760935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2026-10-06T06:28:26Z</dcterms:created>
  <dc:creator>openpyxl</dc:creator>
  <dc:description/>
  <dc:language>en-US</dc:language>
  <cp:lastModifiedBy/>
  <dcterms:modified xsi:type="dcterms:W3CDTF">2026-10-06T06:28:28Z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