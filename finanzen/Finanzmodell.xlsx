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Preise" sheetId="2" state="visible" r:id="rId4"/>
    <sheet name="Annahmen" sheetId="3" state="visible" r:id="rId5"/>
    <sheet name="Solo Konservativ" sheetId="4" state="visible" r:id="rId6"/>
    <sheet name="Solo Konservativ auto" sheetId="5" state="visible" r:id="rId7"/>
    <sheet name="Solo Basis" sheetId="6" state="visible" r:id="rId8"/>
    <sheet name="Solo Basis auto" sheetId="7" state="visible" r:id="rId9"/>
    <sheet name="Solo Optimistisch" sheetId="8" state="visible" r:id="rId10"/>
    <sheet name="Solo Optimistisch auto" sheetId="9" state="visible" r:id="rId11"/>
    <sheet name="Ausbau ab 10k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<sst xmlns="http://schemas.openxmlformats.org/spreadsheetml/2006/main" count="506" uniqueCount="219">
  <si>
    <t xml:space="preserve">Übersicht – Solo-Plan bis 10.000 € MRR, danach Ausbau mit Team</t>
  </si>
  <si>
    <t xml:space="preserve">Ergebnis vor Steuern. Im Solo-Plan ist das Ergebnis das Einkommen des Gründers (davon 35–40 % für Steuern/Sozialversicherung zurücklegen).</t>
  </si>
  <si>
    <t xml:space="preserve">Solo-Plan</t>
  </si>
  <si>
    <t xml:space="preserve">Konservativ · Hand</t>
  </si>
  <si>
    <t xml:space="preserve">Konservativ · auto</t>
  </si>
  <si>
    <t xml:space="preserve">Basis · Hand</t>
  </si>
  <si>
    <t xml:space="preserve">Basis · auto</t>
  </si>
  <si>
    <t xml:space="preserve">Optimistisch · Hand</t>
  </si>
  <si>
    <t xml:space="preserve">Optimistisch · auto</t>
  </si>
  <si>
    <t xml:space="preserve">MRR Monat 6 (Apr 27)</t>
  </si>
  <si>
    <t xml:space="preserve">MRR Monat 12 (Okt 27)</t>
  </si>
  <si>
    <t xml:space="preserve">MRR Monat 24 (Okt 28)</t>
  </si>
  <si>
    <t xml:space="preserve">Monat, in dem 10.000 € MRR erreicht werden</t>
  </si>
  <si>
    <t xml:space="preserve">Einkommen erste 12 Monate (vor Steuern)</t>
  </si>
  <si>
    <t xml:space="preserve">Abschlüsse erste 12 Monate</t>
  </si>
  <si>
    <t xml:space="preserve">Belegte Stunden Monat 12</t>
  </si>
  <si>
    <t xml:space="preserve">Ausbau ab 10.000 € MRR (Team)</t>
  </si>
  <si>
    <t xml:space="preserve">Wert</t>
  </si>
  <si>
    <t xml:space="preserve">Team-Start</t>
  </si>
  <si>
    <t xml:space="preserve">Umsatz erste 12 Team-Monate</t>
  </si>
  <si>
    <t xml:space="preserve">Ergebnis erste 12 Team-Monate</t>
  </si>
  <si>
    <t xml:space="preserve">MRR nach 12 Team-Monaten</t>
  </si>
  <si>
    <t xml:space="preserve">Tiefster Kassenstand im Ausbau</t>
  </si>
  <si>
    <t xml:space="preserve">Jahresumsatz-Tempo im 12. Team-Monat</t>
  </si>
  <si>
    <t xml:space="preserve">MRR je Monat (Solo)</t>
  </si>
  <si>
    <t xml:space="preserve">Nov 26</t>
  </si>
  <si>
    <t xml:space="preserve">Dez 26</t>
  </si>
  <si>
    <t xml:space="preserve">Jan 27</t>
  </si>
  <si>
    <t xml:space="preserve">Feb 27</t>
  </si>
  <si>
    <t xml:space="preserve">Mär 27</t>
  </si>
  <si>
    <t xml:space="preserve">Apr 27</t>
  </si>
  <si>
    <t xml:space="preserve">Mai 27</t>
  </si>
  <si>
    <t xml:space="preserve">Jun 27</t>
  </si>
  <si>
    <t xml:space="preserve">Jul 27</t>
  </si>
  <si>
    <t xml:space="preserve">Aug 27</t>
  </si>
  <si>
    <t xml:space="preserve">Sep 27</t>
  </si>
  <si>
    <t xml:space="preserve">Okt 27</t>
  </si>
  <si>
    <t xml:space="preserve">Nov 27</t>
  </si>
  <si>
    <t xml:space="preserve">Dez 27</t>
  </si>
  <si>
    <t xml:space="preserve">Jan 28</t>
  </si>
  <si>
    <t xml:space="preserve">Feb 28</t>
  </si>
  <si>
    <t xml:space="preserve">Mär 28</t>
  </si>
  <si>
    <t xml:space="preserve">Apr 28</t>
  </si>
  <si>
    <t xml:space="preserve">Mai 28</t>
  </si>
  <si>
    <t xml:space="preserve">Jun 28</t>
  </si>
  <si>
    <t xml:space="preserve">Jul 28</t>
  </si>
  <si>
    <t xml:space="preserve">Aug 28</t>
  </si>
  <si>
    <t xml:space="preserve">Sep 28</t>
  </si>
  <si>
    <t xml:space="preserve">Okt 28</t>
  </si>
  <si>
    <t xml:space="preserve">Preisübersicht und Verdienst je Abschluss</t>
  </si>
  <si>
    <t xml:space="preserve">Blaue Werte sind Eingaben. Stunden = alles selbst gemacht, inkl. Vertrieb je Abschluss (Pflege wird mit der Website verkauft).</t>
  </si>
  <si>
    <t xml:space="preserve">Vertriebsstunden je Abschluss</t>
  </si>
  <si>
    <t xml:space="preserve">Produkt</t>
  </si>
  <si>
    <t xml:space="preserve">Einmalig</t>
  </si>
  <si>
    <t xml:space="preserve">Monatlich</t>
  </si>
  <si>
    <t xml:space="preserve">Std. einmalig</t>
  </si>
  <si>
    <t xml:space="preserve">Std. je Monat</t>
  </si>
  <si>
    <t xml:space="preserve">Umsatz 1. Jahr</t>
  </si>
  <si>
    <t xml:space="preserve">Stunden 1. Jahr</t>
  </si>
  <si>
    <t xml:space="preserve">€ je Stunde</t>
  </si>
  <si>
    <t xml:space="preserve">Hinweis</t>
  </si>
  <si>
    <t xml:space="preserve">Website Start</t>
  </si>
  <si>
    <t xml:space="preserve">bis 5 Seiten, fertig in 2–3 Wochen</t>
  </si>
  <si>
    <t xml:space="preserve">Website Wachstum</t>
  </si>
  <si>
    <t xml:space="preserve">bis 15 Seiten, Orts- und Karriereseiten</t>
  </si>
  <si>
    <t xml:space="preserve">Pflege &amp; Hosting Start</t>
  </si>
  <si>
    <t xml:space="preserve">12 Monate Laufzeit</t>
  </si>
  <si>
    <t xml:space="preserve">Pflege &amp; Hosting Wachstum</t>
  </si>
  <si>
    <t xml:space="preserve">12 Monate Laufzeit, inkl. 1 h Änderungen</t>
  </si>
  <si>
    <t xml:space="preserve">SEO Lokal</t>
  </si>
  <si>
    <t xml:space="preserve">6 Monate Mindestlaufzeit</t>
  </si>
  <si>
    <t xml:space="preserve">SEO Plus</t>
  </si>
  <si>
    <t xml:space="preserve">Google-Ads-Betreuung</t>
  </si>
  <si>
    <t xml:space="preserve">zzgl. Werbebudget, monatlich kündbar</t>
  </si>
  <si>
    <t xml:space="preserve">Recruiting-Paket</t>
  </si>
  <si>
    <t xml:space="preserve">zzgl. Werbebudget, 3 Monate Mindestlaufzeit</t>
  </si>
  <si>
    <t xml:space="preserve">Wachstumsprogramm</t>
  </si>
  <si>
    <t xml:space="preserve">12 Monate, Website + SEO Plus + Ads inklusive</t>
  </si>
  <si>
    <t xml:space="preserve">Faustregel netto: Vom Gewinn 35–40 % für Einkommensteuer und Sozialversicherung zurücklegen (Steuerberater fragen).</t>
  </si>
  <si>
    <t xml:space="preserve">Annahmen Solo-Plan (Gründer macht Vertrieb und Umsetzung allein)</t>
  </si>
  <si>
    <t xml:space="preserve">Blaue Zahlen sind Eingaben. Gelb = wichtigste Hebel. Monat 1 = November 2026.</t>
  </si>
  <si>
    <t xml:space="preserve">Annahme</t>
  </si>
  <si>
    <t xml:space="preserve">Ø Website-Auftrag (einmalig)</t>
  </si>
  <si>
    <t xml:space="preserve">Ø Pflege &amp; Hosting / Monat</t>
  </si>
  <si>
    <t xml:space="preserve">Wachstumsprogramm / Monat</t>
  </si>
  <si>
    <t xml:space="preserve">Programm-Einrichtung (inkl. Website)</t>
  </si>
  <si>
    <t xml:space="preserve">Ø SEO / Monat</t>
  </si>
  <si>
    <t xml:space="preserve">Recruiting-Paket / Monat</t>
  </si>
  <si>
    <t xml:space="preserve">Recruiting-Einrichtung</t>
  </si>
  <si>
    <t xml:space="preserve">Anteil Abschlüsse: Website (+ Pflege)</t>
  </si>
  <si>
    <t xml:space="preserve">Anteil Abschlüsse: Wachstumsprogramm</t>
  </si>
  <si>
    <t xml:space="preserve">Anteil Abschlüsse: SEO</t>
  </si>
  <si>
    <t xml:space="preserve">Anteil Abschlüsse: Recruiting</t>
  </si>
  <si>
    <t xml:space="preserve">Recruiting wird verkauft ab Monat (8 = Jun 27)</t>
  </si>
  <si>
    <t xml:space="preserve">Kündigung Pflege / Monat</t>
  </si>
  <si>
    <t xml:space="preserve">Kündigung Programm / Monat</t>
  </si>
  <si>
    <t xml:space="preserve">Kündigung SEO / Monat</t>
  </si>
  <si>
    <t xml:space="preserve">Kündigung Recruiting / Monat</t>
  </si>
  <si>
    <t xml:space="preserve">Std. je neuer Website</t>
  </si>
  <si>
    <t xml:space="preserve">Std. Einrichtung Programm</t>
  </si>
  <si>
    <t xml:space="preserve">Std. Einrichtung SEO</t>
  </si>
  <si>
    <t xml:space="preserve">Std. Einrichtung Recruiting</t>
  </si>
  <si>
    <t xml:space="preserve">Std. je Pflege-Kunde / Monat</t>
  </si>
  <si>
    <t xml:space="preserve">Std. je Programm-Kunde / Monat</t>
  </si>
  <si>
    <t xml:space="preserve">Std. je SEO-Kunde / Monat</t>
  </si>
  <si>
    <t xml:space="preserve">Std. je Recruiting-Kunde / Monat</t>
  </si>
  <si>
    <t xml:space="preserve">AUTOMATISIERT: Std. je neuer Website</t>
  </si>
  <si>
    <t xml:space="preserve">AUTOMATISIERT: Std. Einrichtung Programm</t>
  </si>
  <si>
    <t xml:space="preserve">AUTOMATISIERT: Std. Einrichtung SEO</t>
  </si>
  <si>
    <t xml:space="preserve">AUTOMATISIERT: Std. Einrichtung Recruiting</t>
  </si>
  <si>
    <t xml:space="preserve">AUTOMATISIERT: Std. je Pflege-Kunde / Monat</t>
  </si>
  <si>
    <t xml:space="preserve">AUTOMATISIERT: Std. je Programm-Kunde / Monat</t>
  </si>
  <si>
    <t xml:space="preserve">AUTOMATISIERT: Std. je SEO-Kunde / Monat</t>
  </si>
  <si>
    <t xml:space="preserve">AUTOMATISIERT: Std. je Recruiting-Kunde / Monat</t>
  </si>
  <si>
    <t xml:space="preserve">AUTOMATISIERT: Vertriebsstunden je Abschluss</t>
  </si>
  <si>
    <t xml:space="preserve">Automatisierung läuft ab Abschluss Nr.</t>
  </si>
  <si>
    <t xml:space="preserve">Systemkosten Automatisierung / Monat</t>
  </si>
  <si>
    <t xml:space="preserve">Arbeitsstunden pro Monat</t>
  </si>
  <si>
    <t xml:space="preserve">Fixkosten / Monat</t>
  </si>
  <si>
    <t xml:space="preserve">Eigenes Marketing / Monat</t>
  </si>
  <si>
    <t xml:space="preserve">Std. je neuem Abschluss (Ø von Hand, alle Produkte, inkl. Vertrieb)</t>
  </si>
  <si>
    <t xml:space="preserve">Abschluss-Ziel (Vertriebstempo)</t>
  </si>
  <si>
    <t xml:space="preserve">Konservativ</t>
  </si>
  <si>
    <t xml:space="preserve">Basis</t>
  </si>
  <si>
    <t xml:space="preserve">Optimistisch</t>
  </si>
  <si>
    <t xml:space="preserve">Abschlüsse / Monat, Monat 1–2</t>
  </si>
  <si>
    <t xml:space="preserve">Abschlüsse / Monat, ab Monat 3</t>
  </si>
  <si>
    <t xml:space="preserve">Solo-Plan · Szenario Konservativ · von Hand (24 Monate ab Nov 2026)</t>
  </si>
  <si>
    <t xml:space="preserve">Abschlüsse = Minimum aus Vertriebstempo und freien Stunden. Kundenzahlen sind Erwartungswerte.</t>
  </si>
  <si>
    <t xml:space="preserve">Monat</t>
  </si>
  <si>
    <t xml:space="preserve">Abschluss-Ziel (Vertrieb)</t>
  </si>
  <si>
    <t xml:space="preserve">Recruiting im Verkauf (1 = ja)</t>
  </si>
  <si>
    <t xml:space="preserve">Automatisierung aktiv (1 = ja)</t>
  </si>
  <si>
    <t xml:space="preserve">Std. je neuem Abschluss</t>
  </si>
  <si>
    <t xml:space="preserve">Laufende Stunden (Bestand)</t>
  </si>
  <si>
    <t xml:space="preserve">Möglich nach Stunden</t>
  </si>
  <si>
    <t xml:space="preserve">Abschlüsse</t>
  </si>
  <si>
    <t xml:space="preserve">Abschlüsse kumuliert</t>
  </si>
  <si>
    <t xml:space="preserve">Aktive Pflege-Kunden</t>
  </si>
  <si>
    <t xml:space="preserve">Aktive Programm-Kunden</t>
  </si>
  <si>
    <t xml:space="preserve">Aktive SEO-Kunden</t>
  </si>
  <si>
    <t xml:space="preserve">Aktive Recruiting-Kunden</t>
  </si>
  <si>
    <t xml:space="preserve">MRR</t>
  </si>
  <si>
    <t xml:space="preserve">Einmalumsatz</t>
  </si>
  <si>
    <t xml:space="preserve">Umsatz</t>
  </si>
  <si>
    <t xml:space="preserve">Kosten</t>
  </si>
  <si>
    <t xml:space="preserve">Ergebnis vor Steuern (= Einkommen Gründer)</t>
  </si>
  <si>
    <t xml:space="preserve">Kasse kumuliert</t>
  </si>
  <si>
    <t xml:space="preserve">Belegte Stunden</t>
  </si>
  <si>
    <t xml:space="preserve">Solo-Plan · Szenario Konservativ · automatisiert ab Kunde 5 (24 Monate ab Nov 2026)</t>
  </si>
  <si>
    <t xml:space="preserve">Solo-Plan · Szenario Basis · von Hand (24 Monate ab Nov 2026)</t>
  </si>
  <si>
    <t xml:space="preserve">Solo-Plan · Szenario Basis · automatisiert ab Kunde 5 (24 Monate ab Nov 2026)</t>
  </si>
  <si>
    <t xml:space="preserve">Solo-Plan · Szenario Optimistisch · von Hand (24 Monate ab Nov 2026)</t>
  </si>
  <si>
    <t xml:space="preserve">Solo-Plan · Szenario Optimistisch · automatisiert ab Kunde 5 (24 Monate ab Nov 2026)</t>
  </si>
  <si>
    <t xml:space="preserve">Ausbau-Plan: Team ab dem Monat nach 10.000 € MRR (Solo Basis)</t>
  </si>
  <si>
    <t xml:space="preserve">Startbestand kommt automatisch aus „Solo Basis“ (erster Monat mit MRR ≥ 10.000 €). Blaue Werte sind Eingaben.</t>
  </si>
  <si>
    <t xml:space="preserve">Kennzahl</t>
  </si>
  <si>
    <t xml:space="preserve">Summe 12 Monate</t>
  </si>
  <si>
    <t xml:space="preserve">Ø Website-Auftrag</t>
  </si>
  <si>
    <t xml:space="preserve">Personen im Vertrieb (inkl. Gründer)</t>
  </si>
  <si>
    <t xml:space="preserve">Pflege &amp; Hosting / Monat</t>
  </si>
  <si>
    <t xml:space="preserve">Terminierer</t>
  </si>
  <si>
    <t xml:space="preserve">SEO / Monat</t>
  </si>
  <si>
    <t xml:space="preserve">Angestellte Closer</t>
  </si>
  <si>
    <t xml:space="preserve">Ads-Betreuung / Monat</t>
  </si>
  <si>
    <t xml:space="preserve">davon neu</t>
  </si>
  <si>
    <t xml:space="preserve">Ads-Einrichtung</t>
  </si>
  <si>
    <t xml:space="preserve">Eingearbeitete Closer-Äquivalente</t>
  </si>
  <si>
    <t xml:space="preserve">Programm-Einrichtung</t>
  </si>
  <si>
    <t xml:space="preserve">neue Website-Kunden</t>
  </si>
  <si>
    <t xml:space="preserve">neue SEO-Kunden</t>
  </si>
  <si>
    <t xml:space="preserve">Recruiting / Monat</t>
  </si>
  <si>
    <t xml:space="preserve">neue Ads-Kunden</t>
  </si>
  <si>
    <t xml:space="preserve">Anteil Website-Abschlüsse</t>
  </si>
  <si>
    <t xml:space="preserve">neue Programm-Kunden</t>
  </si>
  <si>
    <t xml:space="preserve">Anteil Programm-Abschlüsse</t>
  </si>
  <si>
    <t xml:space="preserve">neue Recruiting-Kunden</t>
  </si>
  <si>
    <t xml:space="preserve">Anteil Recruiting-Abschlüsse</t>
  </si>
  <si>
    <t xml:space="preserve">Website-Abschlüsse mit SEO</t>
  </si>
  <si>
    <t xml:space="preserve">Website-Abschlüsse mit Ads</t>
  </si>
  <si>
    <t xml:space="preserve">Kündigung Pflege</t>
  </si>
  <si>
    <t xml:space="preserve">Aktive Ads-Kunden</t>
  </si>
  <si>
    <t xml:space="preserve">Kündigung SEO</t>
  </si>
  <si>
    <t xml:space="preserve">Kündigung Ads</t>
  </si>
  <si>
    <t xml:space="preserve">Kündigung Programm</t>
  </si>
  <si>
    <t xml:space="preserve">Kündigung Recruiting</t>
  </si>
  <si>
    <t xml:space="preserve">Abschlüsse je eingearbeitetem Closer</t>
  </si>
  <si>
    <t xml:space="preserve">Abschlüsse Gründer / Monat</t>
  </si>
  <si>
    <t xml:space="preserve">Fixkosten je Closer</t>
  </si>
  <si>
    <t xml:space="preserve">Jahresumsatz-Tempo (Umsatz × 12)</t>
  </si>
  <si>
    <t xml:space="preserve">Fixkosten je Terminierer</t>
  </si>
  <si>
    <t xml:space="preserve">Provision auf Umsatz</t>
  </si>
  <si>
    <t xml:space="preserve">Umsetzungsstunden</t>
  </si>
  <si>
    <t xml:space="preserve">Anteil Abschlüsse über Werbung</t>
  </si>
  <si>
    <t xml:space="preserve">Vollzeitstellen Umsetzung (140 h)</t>
  </si>
  <si>
    <t xml:space="preserve">Werbekosten je Abschluss</t>
  </si>
  <si>
    <t xml:space="preserve">Kosten Umsetzung</t>
  </si>
  <si>
    <t xml:space="preserve">Std. je Website</t>
  </si>
  <si>
    <t xml:space="preserve">Kosten Vertrieb</t>
  </si>
  <si>
    <t xml:space="preserve">Werbebudget</t>
  </si>
  <si>
    <t xml:space="preserve">Std. je Ads-Kunde / Monat</t>
  </si>
  <si>
    <t xml:space="preserve">Gemeinkosten</t>
  </si>
  <si>
    <t xml:space="preserve">Gründergehalt</t>
  </si>
  <si>
    <t xml:space="preserve">Std. je Recruiting-Einrichtung</t>
  </si>
  <si>
    <t xml:space="preserve">Kosten gesamt</t>
  </si>
  <si>
    <t xml:space="preserve">Ergebnis vor Steuern</t>
  </si>
  <si>
    <t xml:space="preserve">Mischsatz Umsetzung je Stunde</t>
  </si>
  <si>
    <t xml:space="preserve">Gemeinkosten erster Monat</t>
  </si>
  <si>
    <t xml:space="preserve">Gemeinkosten zwölfter Monat</t>
  </si>
  <si>
    <t xml:space="preserve">Gründergehalt / Monat</t>
  </si>
  <si>
    <t xml:space="preserve">Leistung neuer Closer im Monat 1</t>
  </si>
  <si>
    <t xml:space="preserve">Leistung neuer Closer im Monat 2</t>
  </si>
  <si>
    <t xml:space="preserve">Leistung neuer Closer im Monat 3</t>
  </si>
  <si>
    <t xml:space="preserve">Zielmonat 10.000 € MRR (aus Solo Basis)</t>
  </si>
  <si>
    <t xml:space="preserve">Startbestand Pflege</t>
  </si>
  <si>
    <t xml:space="preserve">Startbestand SEO</t>
  </si>
  <si>
    <t xml:space="preserve">Startbestand Programm</t>
  </si>
  <si>
    <t xml:space="preserve">Startbestand Recruiting</t>
  </si>
  <si>
    <t xml:space="preserve">Startbestand Ads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</si>
</sst>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€&quot;;\(#,##0&quot; €)&quot;;\-"/>
    <numFmt numFmtId="166" formatCode="General"/>
    <numFmt numFmtId="167" formatCode="#,##0.0;\(#,##0.0\);\-"/>
    <numFmt numFmtId="168" formatCode="@"/>
    <numFmt numFmtId="169" formatCode="0.0%;\(0.0%\);\-"/>
    <numFmt numFmtId="170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5C4A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EFE8DB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EFE8D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26A2E"/>
      <rgbColor rgb="FF666699"/>
      <rgbColor rgb="FF969696"/>
      <rgbColor rgb="FF0F5C4A"/>
      <rgbColor rgb="FF1A8A68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MRR Basis: von Hand vs. automatisiert ab Kunde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Übersicht!D22</c:f>
              <c:strCache>
                <c:ptCount val="1"/>
                <c:pt idx="0">
                  <c:v>Basis · Hand</c:v>
                </c:pt>
              </c:strCache>
            </c:strRef>
          </c:tx>
          <c:spPr>
            <a:solidFill>
              <a:srgbClr val="c26a2e"/>
            </a:solidFill>
            <a:ln w="28080">
              <a:solidFill>
                <a:srgbClr val="c26a2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Übersicht!$A$23:$A$46</c:f>
              <c:strCache>
                <c:ptCount val="24"/>
                <c:pt idx="0">
                  <c:v>Nov 26</c:v>
                </c:pt>
                <c:pt idx="1">
                  <c:v>Dez 26</c:v>
                </c:pt>
                <c:pt idx="2">
                  <c:v>Jan 27</c:v>
                </c:pt>
                <c:pt idx="3">
                  <c:v>Feb 27</c:v>
                </c:pt>
                <c:pt idx="4">
                  <c:v>Mär 27</c:v>
                </c:pt>
                <c:pt idx="5">
                  <c:v>Apr 27</c:v>
                </c:pt>
                <c:pt idx="6">
                  <c:v>Mai 27</c:v>
                </c:pt>
                <c:pt idx="7">
                  <c:v>Jun 27</c:v>
                </c:pt>
                <c:pt idx="8">
                  <c:v>Jul 27</c:v>
                </c:pt>
                <c:pt idx="9">
                  <c:v>Aug 27</c:v>
                </c:pt>
                <c:pt idx="10">
                  <c:v>Sep 27</c:v>
                </c:pt>
                <c:pt idx="11">
                  <c:v>Okt 27</c:v>
                </c:pt>
                <c:pt idx="12">
                  <c:v>Nov 27</c:v>
                </c:pt>
                <c:pt idx="13">
                  <c:v>Dez 27</c:v>
                </c:pt>
                <c:pt idx="14">
                  <c:v>Jan 28</c:v>
                </c:pt>
                <c:pt idx="15">
                  <c:v>Feb 28</c:v>
                </c:pt>
                <c:pt idx="16">
                  <c:v>Mär 28</c:v>
                </c:pt>
                <c:pt idx="17">
                  <c:v>Apr 28</c:v>
                </c:pt>
                <c:pt idx="18">
                  <c:v>Mai 28</c:v>
                </c:pt>
                <c:pt idx="19">
                  <c:v>Jun 28</c:v>
                </c:pt>
                <c:pt idx="20">
                  <c:v>Jul 28</c:v>
                </c:pt>
                <c:pt idx="21">
                  <c:v>Aug 28</c:v>
                </c:pt>
                <c:pt idx="22">
                  <c:v>Sep 28</c:v>
                </c:pt>
                <c:pt idx="23">
                  <c:v>Okt 28</c:v>
                </c:pt>
              </c:strCache>
            </c:strRef>
          </c:cat>
          <c:val>
            <c:numRef>
              <c:f>Übersicht!$D$23:$D$46</c:f>
              <c:numCache>
                <c:formatCode>#,##0" €";\(#,##0" €)";\-</c:formatCode>
                <c:ptCount val="24"/>
                <c:pt idx="0">
                  <c:v>1186</c:v>
                </c:pt>
                <c:pt idx="1">
                  <c:v>2345.27333333333</c:v>
                </c:pt>
                <c:pt idx="2">
                  <c:v>4071.45393333333</c:v>
                </c:pt>
                <c:pt idx="3">
                  <c:v>5758.79664733333</c:v>
                </c:pt>
                <c:pt idx="4">
                  <c:v>7351.815824463</c:v>
                </c:pt>
                <c:pt idx="5">
                  <c:v>8633.87984896378</c:v>
                </c:pt>
                <c:pt idx="6">
                  <c:v>9665.95834570973</c:v>
                </c:pt>
                <c:pt idx="7">
                  <c:v>10666.9132082164</c:v>
                </c:pt>
                <c:pt idx="8">
                  <c:v>11448.4773764429</c:v>
                </c:pt>
                <c:pt idx="9">
                  <c:v>12059.0809831743</c:v>
                </c:pt>
                <c:pt idx="10">
                  <c:v>12536.4551141059</c:v>
                </c:pt>
                <c:pt idx="11">
                  <c:v>12909.9956702721</c:v>
                </c:pt>
                <c:pt idx="12">
                  <c:v>13202.604945852</c:v>
                </c:pt>
                <c:pt idx="13">
                  <c:v>13432.1263181341</c:v>
                </c:pt>
                <c:pt idx="14">
                  <c:v>13612.4619499298</c:v>
                </c:pt>
                <c:pt idx="15">
                  <c:v>13754.4435415908</c:v>
                </c:pt>
                <c:pt idx="16">
                  <c:v>13866.5106953375</c:v>
                </c:pt>
                <c:pt idx="17">
                  <c:v>13955.2393991777</c:v>
                </c:pt>
                <c:pt idx="18">
                  <c:v>14025.7537458737</c:v>
                </c:pt>
                <c:pt idx="19">
                  <c:v>14082.0466856763</c:v>
                </c:pt>
                <c:pt idx="20">
                  <c:v>14127.2299114186</c:v>
                </c:pt>
                <c:pt idx="21">
                  <c:v>14163.7285338531</c:v>
                </c:pt>
                <c:pt idx="22">
                  <c:v>14193.4327455655</c:v>
                </c:pt>
                <c:pt idx="23">
                  <c:v>14217.8159766269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Übersicht!E22</c:f>
              <c:strCache>
                <c:ptCount val="1"/>
                <c:pt idx="0">
                  <c:v>Basis · auto</c:v>
                </c:pt>
              </c:strCache>
            </c:strRef>
          </c:tx>
          <c:spPr>
            <a:solidFill>
              <a:srgbClr val="1a8a68"/>
            </a:solidFill>
            <a:ln w="28080">
              <a:solidFill>
                <a:srgbClr val="1a8a6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Übersicht!$A$23:$A$46</c:f>
              <c:strCache>
                <c:ptCount val="24"/>
                <c:pt idx="0">
                  <c:v>Nov 26</c:v>
                </c:pt>
                <c:pt idx="1">
                  <c:v>Dez 26</c:v>
                </c:pt>
                <c:pt idx="2">
                  <c:v>Jan 27</c:v>
                </c:pt>
                <c:pt idx="3">
                  <c:v>Feb 27</c:v>
                </c:pt>
                <c:pt idx="4">
                  <c:v>Mär 27</c:v>
                </c:pt>
                <c:pt idx="5">
                  <c:v>Apr 27</c:v>
                </c:pt>
                <c:pt idx="6">
                  <c:v>Mai 27</c:v>
                </c:pt>
                <c:pt idx="7">
                  <c:v>Jun 27</c:v>
                </c:pt>
                <c:pt idx="8">
                  <c:v>Jul 27</c:v>
                </c:pt>
                <c:pt idx="9">
                  <c:v>Aug 27</c:v>
                </c:pt>
                <c:pt idx="10">
                  <c:v>Sep 27</c:v>
                </c:pt>
                <c:pt idx="11">
                  <c:v>Okt 27</c:v>
                </c:pt>
                <c:pt idx="12">
                  <c:v>Nov 27</c:v>
                </c:pt>
                <c:pt idx="13">
                  <c:v>Dez 27</c:v>
                </c:pt>
                <c:pt idx="14">
                  <c:v>Jan 28</c:v>
                </c:pt>
                <c:pt idx="15">
                  <c:v>Feb 28</c:v>
                </c:pt>
                <c:pt idx="16">
                  <c:v>Mär 28</c:v>
                </c:pt>
                <c:pt idx="17">
                  <c:v>Apr 28</c:v>
                </c:pt>
                <c:pt idx="18">
                  <c:v>Mai 28</c:v>
                </c:pt>
                <c:pt idx="19">
                  <c:v>Jun 28</c:v>
                </c:pt>
                <c:pt idx="20">
                  <c:v>Jul 28</c:v>
                </c:pt>
                <c:pt idx="21">
                  <c:v>Aug 28</c:v>
                </c:pt>
                <c:pt idx="22">
                  <c:v>Sep 28</c:v>
                </c:pt>
                <c:pt idx="23">
                  <c:v>Okt 28</c:v>
                </c:pt>
              </c:strCache>
            </c:strRef>
          </c:cat>
          <c:val>
            <c:numRef>
              <c:f>Übersicht!$E$23:$E$46</c:f>
              <c:numCache>
                <c:formatCode>#,##0" €";\(#,##0" €)";\-</c:formatCode>
                <c:ptCount val="24"/>
                <c:pt idx="0">
                  <c:v>1186</c:v>
                </c:pt>
                <c:pt idx="1">
                  <c:v>2345.27333333333</c:v>
                </c:pt>
                <c:pt idx="2">
                  <c:v>4071.45393333333</c:v>
                </c:pt>
                <c:pt idx="3">
                  <c:v>5758.79664733333</c:v>
                </c:pt>
                <c:pt idx="4">
                  <c:v>7408.22127819333</c:v>
                </c:pt>
                <c:pt idx="5">
                  <c:v>9020.62480519273</c:v>
                </c:pt>
                <c:pt idx="6">
                  <c:v>10596.8819746893</c:v>
                </c:pt>
                <c:pt idx="7">
                  <c:v>12285.5958749259</c:v>
                </c:pt>
                <c:pt idx="8">
                  <c:v>13920.2459954229</c:v>
                </c:pt>
                <c:pt idx="9">
                  <c:v>15502.8872963824</c:v>
                </c:pt>
                <c:pt idx="10">
                  <c:v>17035.486558269</c:v>
                </c:pt>
                <c:pt idx="11">
                  <c:v>18519.92644752</c:v>
                </c:pt>
                <c:pt idx="12">
                  <c:v>19958.0093874316</c:v>
                </c:pt>
                <c:pt idx="13">
                  <c:v>21351.4612437443</c:v>
                </c:pt>
                <c:pt idx="14">
                  <c:v>22574.7620270967</c:v>
                </c:pt>
                <c:pt idx="15">
                  <c:v>23525.7253500693</c:v>
                </c:pt>
                <c:pt idx="16">
                  <c:v>24265.4198367805</c:v>
                </c:pt>
                <c:pt idx="17">
                  <c:v>24841.2139511731</c:v>
                </c:pt>
                <c:pt idx="18">
                  <c:v>25289.8496105845</c:v>
                </c:pt>
                <c:pt idx="19">
                  <c:v>25639.8262352704</c:v>
                </c:pt>
                <c:pt idx="20">
                  <c:v>25913.249937395</c:v>
                </c:pt>
                <c:pt idx="21">
                  <c:v>26127.267845307</c:v>
                </c:pt>
                <c:pt idx="22">
                  <c:v>26295.1806378856</c:v>
                </c:pt>
                <c:pt idx="23">
                  <c:v>26427.3054824371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4824460"/>
        <c:axId val="59165171"/>
      </c:lineChart>
      <c:catAx>
        <c:axId val="848244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Monat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65171"/>
        <c:crosses val="autoZero"/>
        <c:auto val="1"/>
        <c:lblAlgn val="ctr"/>
        <c:lblOffset val="100"/>
        <c:noMultiLvlLbl val="0"/>
      </c:catAx>
      <c:valAx>
        <c:axId val="591651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;\(#,##0&quot; €)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244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18</xdr:col>
      <xdr:colOff>364680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1104336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7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false" outlineLevel="0" collapsed="false">
      <c r="A5" s="5" t="s">
        <v>9</v>
      </c>
      <c r="B5" s="6" t="n">
        <f aca="false">'Solo Konservativ'!G19</f>
        <v>5656.85239776303</v>
      </c>
      <c r="C5" s="6" t="n">
        <f aca="false">'Solo Konservativ auto'!G19</f>
        <v>5656.85239776303</v>
      </c>
      <c r="D5" s="6" t="n">
        <f aca="false">'Solo Basis'!G19</f>
        <v>8633.87984896378</v>
      </c>
      <c r="E5" s="6" t="n">
        <f aca="false">'Solo Basis auto'!G19</f>
        <v>9020.62480519273</v>
      </c>
      <c r="F5" s="6" t="n">
        <f aca="false">'Solo Optimistisch'!G19</f>
        <v>9555.90168157281</v>
      </c>
      <c r="G5" s="6" t="n">
        <f aca="false">'Solo Optimistisch auto'!G19</f>
        <v>12384.3972126224</v>
      </c>
    </row>
    <row r="6" customFormat="false" ht="15" hidden="false" customHeight="false" outlineLevel="0" collapsed="false">
      <c r="A6" s="5" t="s">
        <v>10</v>
      </c>
      <c r="B6" s="6" t="n">
        <f aca="false">'Solo Konservativ'!M19</f>
        <v>11674.6982181514</v>
      </c>
      <c r="C6" s="6" t="n">
        <f aca="false">'Solo Konservativ auto'!M19</f>
        <v>12034.9748621357</v>
      </c>
      <c r="D6" s="6" t="n">
        <f aca="false">'Solo Basis'!M19</f>
        <v>12909.9956702721</v>
      </c>
      <c r="E6" s="6" t="n">
        <f aca="false">'Solo Basis auto'!M19</f>
        <v>18519.92644752</v>
      </c>
      <c r="F6" s="6" t="n">
        <f aca="false">'Solo Optimistisch'!M19</f>
        <v>13119.8748738188</v>
      </c>
      <c r="G6" s="6" t="n">
        <f aca="false">'Solo Optimistisch auto'!M19</f>
        <v>23122.3170031881</v>
      </c>
    </row>
    <row r="7" customFormat="false" ht="15" hidden="false" customHeight="false" outlineLevel="0" collapsed="false">
      <c r="A7" s="5" t="s">
        <v>11</v>
      </c>
      <c r="B7" s="6" t="n">
        <f aca="false">'Solo Konservativ'!Y19</f>
        <v>14164.9042539678</v>
      </c>
      <c r="C7" s="6" t="n">
        <f aca="false">'Solo Konservativ auto'!Y19</f>
        <v>21870.1875953666</v>
      </c>
      <c r="D7" s="6" t="n">
        <f aca="false">'Solo Basis'!Y19</f>
        <v>14217.8159766269</v>
      </c>
      <c r="E7" s="6" t="n">
        <f aca="false">'Solo Basis auto'!Y19</f>
        <v>26427.3054824371</v>
      </c>
      <c r="F7" s="6" t="n">
        <f aca="false">'Solo Optimistisch'!Y19</f>
        <v>14227.3790716618</v>
      </c>
      <c r="G7" s="6" t="n">
        <f aca="false">'Solo Optimistisch auto'!Y19</f>
        <v>26725.2543565207</v>
      </c>
    </row>
    <row r="8" customFormat="false" ht="15" hidden="false" customHeight="false" outlineLevel="0" collapsed="false">
      <c r="A8" s="7" t="s">
        <v>12</v>
      </c>
      <c r="B8" s="8" t="n">
        <f aca="false">IF(MAX('Solo Konservativ'!B19:Y19)&gt;=10000,COUNTIF('Solo Konservativ'!B19:Y19,"&lt;10000")+1,"nicht in 24 Monaten")</f>
        <v>10</v>
      </c>
      <c r="C8" s="8" t="n">
        <f aca="false">IF(MAX('Solo Konservativ auto'!B19:Y19)&gt;=10000,COUNTIF('Solo Konservativ auto'!B19:Y19,"&lt;10000")+1,"nicht in 24 Monaten")</f>
        <v>10</v>
      </c>
      <c r="D8" s="8" t="n">
        <f aca="false">IF(MAX('Solo Basis'!B19:Y19)&gt;=10000,COUNTIF('Solo Basis'!B19:Y19,"&lt;10000")+1,"nicht in 24 Monaten")</f>
        <v>8</v>
      </c>
      <c r="E8" s="8" t="n">
        <f aca="false">IF(MAX('Solo Basis auto'!B19:Y19)&gt;=10000,COUNTIF('Solo Basis auto'!B19:Y19,"&lt;10000")+1,"nicht in 24 Monaten")</f>
        <v>7</v>
      </c>
      <c r="F8" s="8" t="n">
        <f aca="false">IF(MAX('Solo Optimistisch'!B19:Y19)&gt;=10000,COUNTIF('Solo Optimistisch'!B19:Y19,"&lt;10000")+1,"nicht in 24 Monaten")</f>
        <v>7</v>
      </c>
      <c r="G8" s="8" t="n">
        <f aca="false">IF(MAX('Solo Optimistisch auto'!B19:Y19)&gt;=10000,COUNTIF('Solo Optimistisch auto'!B19:Y19,"&lt;10000")+1,"nicht in 24 Monaten")</f>
        <v>5</v>
      </c>
    </row>
    <row r="9" customFormat="false" ht="15" hidden="false" customHeight="false" outlineLevel="0" collapsed="false">
      <c r="A9" s="5" t="s">
        <v>13</v>
      </c>
      <c r="B9" s="6" t="n">
        <f aca="false">SUM('Solo Konservativ'!B23:M23)</f>
        <v>96652.1983049527</v>
      </c>
      <c r="C9" s="6" t="n">
        <f aca="false">SUM('Solo Konservativ auto'!B23:M23)</f>
        <v>96488.3229754906</v>
      </c>
      <c r="D9" s="6" t="n">
        <f aca="false">SUM('Solo Basis'!B23:M23)</f>
        <v>125052.266259801</v>
      </c>
      <c r="E9" s="6" t="n">
        <f aca="false">SUM('Solo Basis auto'!B23:M23)</f>
        <v>154686.394144596</v>
      </c>
      <c r="F9" s="6" t="n">
        <f aca="false">SUM('Solo Optimistisch'!B23:M23)</f>
        <v>135249.946852628</v>
      </c>
      <c r="G9" s="6" t="n">
        <f aca="false">SUM('Solo Optimistisch auto'!B23:M23)</f>
        <v>205965.328590615</v>
      </c>
    </row>
    <row r="10" customFormat="false" ht="15" hidden="false" customHeight="false" outlineLevel="0" collapsed="false">
      <c r="A10" s="5" t="s">
        <v>14</v>
      </c>
      <c r="B10" s="9" t="n">
        <f aca="false">SUM('Solo Konservativ'!B11:M11)</f>
        <v>21.4345267062593</v>
      </c>
      <c r="C10" s="9" t="n">
        <f aca="false">SUM('Solo Konservativ auto'!B11:M11)</f>
        <v>22</v>
      </c>
      <c r="D10" s="9" t="n">
        <f aca="false">SUM('Solo Basis'!B11:M11)</f>
        <v>24.5637304789391</v>
      </c>
      <c r="E10" s="9" t="n">
        <f aca="false">SUM('Solo Basis auto'!B11:M11)</f>
        <v>34</v>
      </c>
      <c r="F10" s="9" t="n">
        <f aca="false">SUM('Solo Optimistisch'!B11:M11)</f>
        <v>25.3089609629929</v>
      </c>
      <c r="G10" s="9" t="n">
        <f aca="false">SUM('Solo Optimistisch auto'!B11:M11)</f>
        <v>43.005749664839</v>
      </c>
    </row>
    <row r="11" customFormat="false" ht="15" hidden="false" customHeight="false" outlineLevel="0" collapsed="false">
      <c r="A11" s="5" t="s">
        <v>15</v>
      </c>
      <c r="B11" s="9" t="n">
        <f aca="false">'Solo Konservativ'!M25</f>
        <v>170</v>
      </c>
      <c r="C11" s="9" t="n">
        <f aca="false">'Solo Konservativ auto'!M25</f>
        <v>98.2272692834436</v>
      </c>
      <c r="D11" s="9" t="n">
        <f aca="false">'Solo Basis'!M25</f>
        <v>170</v>
      </c>
      <c r="E11" s="9" t="n">
        <f aca="false">'Solo Basis auto'!M25</f>
        <v>150.045987170502</v>
      </c>
      <c r="F11" s="9" t="n">
        <f aca="false">'Solo Optimistisch'!M25</f>
        <v>170</v>
      </c>
      <c r="G11" s="9" t="n">
        <f aca="false">'Solo Optimistisch auto'!M25</f>
        <v>170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</row>
    <row r="13" customFormat="false" ht="15" hidden="false" customHeight="false" outlineLevel="0" collapsed="false">
      <c r="A13" s="4" t="s">
        <v>16</v>
      </c>
      <c r="B13" s="4" t="s">
        <v>17</v>
      </c>
      <c r="C13" s="2"/>
      <c r="D13" s="2"/>
      <c r="E13" s="2"/>
      <c r="F13" s="2"/>
      <c r="G13" s="2"/>
    </row>
    <row r="14" customFormat="false" ht="15" hidden="false" customHeight="false" outlineLevel="0" collapsed="false">
      <c r="A14" s="5" t="s">
        <v>18</v>
      </c>
      <c r="B14" s="10" t="str">
        <f aca="false">"Jul 27"</f>
        <v>Jul 27</v>
      </c>
      <c r="C14" s="2"/>
      <c r="D14" s="2"/>
      <c r="E14" s="2"/>
      <c r="F14" s="2"/>
      <c r="G14" s="2"/>
    </row>
    <row r="15" customFormat="false" ht="15" hidden="false" customHeight="false" outlineLevel="0" collapsed="false">
      <c r="A15" s="5" t="s">
        <v>19</v>
      </c>
      <c r="B15" s="6" t="n">
        <f aca="false">'Ausbau ab 10k'!Q25</f>
        <v>821745.765438119</v>
      </c>
      <c r="C15" s="2"/>
      <c r="D15" s="2"/>
      <c r="E15" s="2"/>
      <c r="F15" s="2"/>
      <c r="G15" s="2"/>
    </row>
    <row r="16" customFormat="false" ht="15" hidden="false" customHeight="false" outlineLevel="0" collapsed="false">
      <c r="A16" s="5" t="s">
        <v>20</v>
      </c>
      <c r="B16" s="6" t="n">
        <f aca="false">'Ausbau ab 10k'!Q37</f>
        <v>74129.2452127463</v>
      </c>
      <c r="C16" s="2"/>
      <c r="D16" s="2"/>
      <c r="E16" s="2"/>
      <c r="F16" s="2"/>
      <c r="G16" s="2"/>
    </row>
    <row r="17" customFormat="false" ht="15" hidden="false" customHeight="false" outlineLevel="0" collapsed="false">
      <c r="A17" s="5" t="s">
        <v>21</v>
      </c>
      <c r="B17" s="6" t="n">
        <f aca="false">'Ausbau ab 10k'!P23</f>
        <v>96730.190250547</v>
      </c>
      <c r="C17" s="2"/>
      <c r="D17" s="2"/>
      <c r="E17" s="2"/>
      <c r="F17" s="2"/>
      <c r="G17" s="2"/>
    </row>
    <row r="18" customFormat="false" ht="15" hidden="false" customHeight="false" outlineLevel="0" collapsed="false">
      <c r="A18" s="5" t="s">
        <v>22</v>
      </c>
      <c r="B18" s="6" t="n">
        <f aca="false">MIN(0,MIN('Ausbau ab 10k'!E38:P38))</f>
        <v>-4565.85317386154</v>
      </c>
      <c r="C18" s="2"/>
      <c r="D18" s="2"/>
      <c r="E18" s="2"/>
      <c r="F18" s="2"/>
      <c r="G18" s="2"/>
    </row>
    <row r="19" customFormat="false" ht="15" hidden="false" customHeight="false" outlineLevel="0" collapsed="false">
      <c r="A19" s="5" t="s">
        <v>23</v>
      </c>
      <c r="B19" s="6" t="n">
        <f aca="false">'Ausbau ab 10k'!P26</f>
        <v>1798466.28300656</v>
      </c>
      <c r="C19" s="2"/>
      <c r="D19" s="2"/>
      <c r="E19" s="2"/>
      <c r="F19" s="2"/>
      <c r="G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</row>
    <row r="22" customFormat="false" ht="15" hidden="false" customHeight="false" outlineLevel="0" collapsed="false">
      <c r="A22" s="7" t="s">
        <v>24</v>
      </c>
      <c r="B22" s="7" t="s">
        <v>3</v>
      </c>
      <c r="C22" s="7" t="s">
        <v>4</v>
      </c>
      <c r="D22" s="7" t="s">
        <v>5</v>
      </c>
      <c r="E22" s="7" t="s">
        <v>6</v>
      </c>
      <c r="F22" s="7" t="s">
        <v>7</v>
      </c>
      <c r="G22" s="7" t="s">
        <v>8</v>
      </c>
    </row>
    <row r="23" customFormat="false" ht="15" hidden="false" customHeight="false" outlineLevel="0" collapsed="false">
      <c r="A23" s="5" t="s">
        <v>25</v>
      </c>
      <c r="B23" s="6" t="n">
        <f aca="false">'Solo Konservativ'!B19</f>
        <v>593</v>
      </c>
      <c r="C23" s="6" t="n">
        <f aca="false">'Solo Konservativ auto'!B19</f>
        <v>593</v>
      </c>
      <c r="D23" s="6" t="n">
        <f aca="false">'Solo Basis'!B19</f>
        <v>1186</v>
      </c>
      <c r="E23" s="6" t="n">
        <f aca="false">'Solo Basis auto'!B19</f>
        <v>1186</v>
      </c>
      <c r="F23" s="6" t="n">
        <f aca="false">'Solo Optimistisch'!B19</f>
        <v>1779</v>
      </c>
      <c r="G23" s="6" t="n">
        <f aca="false">'Solo Optimistisch auto'!B19</f>
        <v>1779</v>
      </c>
    </row>
    <row r="24" customFormat="false" ht="15" hidden="false" customHeight="false" outlineLevel="0" collapsed="false">
      <c r="A24" s="5" t="s">
        <v>26</v>
      </c>
      <c r="B24" s="6" t="n">
        <f aca="false">'Solo Konservativ'!C19</f>
        <v>1172.63666666667</v>
      </c>
      <c r="C24" s="6" t="n">
        <f aca="false">'Solo Konservativ auto'!C19</f>
        <v>1172.63666666667</v>
      </c>
      <c r="D24" s="6" t="n">
        <f aca="false">'Solo Basis'!C19</f>
        <v>2345.27333333333</v>
      </c>
      <c r="E24" s="6" t="n">
        <f aca="false">'Solo Basis auto'!C19</f>
        <v>2345.27333333333</v>
      </c>
      <c r="F24" s="6" t="n">
        <f aca="false">'Solo Optimistisch'!C19</f>
        <v>3517.91</v>
      </c>
      <c r="G24" s="6" t="n">
        <f aca="false">'Solo Optimistisch auto'!C19</f>
        <v>3517.91</v>
      </c>
    </row>
    <row r="25" customFormat="false" ht="15" hidden="false" customHeight="false" outlineLevel="0" collapsed="false">
      <c r="A25" s="5" t="s">
        <v>27</v>
      </c>
      <c r="B25" s="6" t="n">
        <f aca="false">'Solo Konservativ'!D19</f>
        <v>2332.22696666667</v>
      </c>
      <c r="C25" s="6" t="n">
        <f aca="false">'Solo Konservativ auto'!D19</f>
        <v>2332.22696666667</v>
      </c>
      <c r="D25" s="6" t="n">
        <f aca="false">'Solo Basis'!D19</f>
        <v>4071.45393333333</v>
      </c>
      <c r="E25" s="6" t="n">
        <f aca="false">'Solo Basis auto'!D19</f>
        <v>4071.45393333333</v>
      </c>
      <c r="F25" s="6" t="n">
        <f aca="false">'Solo Optimistisch'!D19</f>
        <v>5548.5749</v>
      </c>
      <c r="G25" s="6" t="n">
        <f aca="false">'Solo Optimistisch auto'!D19</f>
        <v>5810.6809</v>
      </c>
    </row>
    <row r="26" customFormat="false" ht="15" hidden="false" customHeight="false" outlineLevel="0" collapsed="false">
      <c r="A26" s="5" t="s">
        <v>28</v>
      </c>
      <c r="B26" s="6" t="n">
        <f aca="false">'Solo Konservativ'!E19</f>
        <v>3465.716657</v>
      </c>
      <c r="C26" s="6" t="n">
        <f aca="false">'Solo Konservativ auto'!E19</f>
        <v>3465.716657</v>
      </c>
      <c r="D26" s="6" t="n">
        <f aca="false">'Solo Basis'!E19</f>
        <v>5758.79664733333</v>
      </c>
      <c r="E26" s="6" t="n">
        <f aca="false">'Solo Basis auto'!E19</f>
        <v>5758.79664733333</v>
      </c>
      <c r="F26" s="6" t="n">
        <f aca="false">'Solo Optimistisch'!E19</f>
        <v>7182.47058942697</v>
      </c>
      <c r="G26" s="6" t="n">
        <f aca="false">'Solo Optimistisch auto'!E19</f>
        <v>8051.87663766667</v>
      </c>
    </row>
    <row r="27" customFormat="false" ht="15" hidden="false" customHeight="false" outlineLevel="0" collapsed="false">
      <c r="A27" s="5" t="s">
        <v>29</v>
      </c>
      <c r="B27" s="6" t="n">
        <f aca="false">'Solo Konservativ'!F19</f>
        <v>4573.72412243</v>
      </c>
      <c r="C27" s="6" t="n">
        <f aca="false">'Solo Konservativ auto'!F19</f>
        <v>4573.72412243</v>
      </c>
      <c r="D27" s="6" t="n">
        <f aca="false">'Solo Basis'!F19</f>
        <v>7351.815824463</v>
      </c>
      <c r="E27" s="6" t="n">
        <f aca="false">'Solo Basis auto'!F19</f>
        <v>7408.22127819333</v>
      </c>
      <c r="F27" s="6" t="n">
        <f aca="false">'Solo Optimistisch'!F19</f>
        <v>8497.39914642286</v>
      </c>
      <c r="G27" s="6" t="n">
        <f aca="false">'Solo Optimistisch auto'!F19</f>
        <v>10242.7184339567</v>
      </c>
    </row>
    <row r="28" customFormat="false" ht="15" hidden="false" customHeight="false" outlineLevel="0" collapsed="false">
      <c r="A28" s="5" t="s">
        <v>30</v>
      </c>
      <c r="B28" s="6" t="n">
        <f aca="false">'Solo Konservativ'!G19</f>
        <v>5656.85239776303</v>
      </c>
      <c r="C28" s="6" t="n">
        <f aca="false">'Solo Konservativ auto'!G19</f>
        <v>5656.85239776303</v>
      </c>
      <c r="D28" s="6" t="n">
        <f aca="false">'Solo Basis'!G19</f>
        <v>8633.87984896378</v>
      </c>
      <c r="E28" s="6" t="n">
        <f aca="false">'Solo Basis auto'!G19</f>
        <v>9020.62480519273</v>
      </c>
      <c r="F28" s="6" t="n">
        <f aca="false">'Solo Optimistisch'!G19</f>
        <v>9555.90168157281</v>
      </c>
      <c r="G28" s="6" t="n">
        <f aca="false">'Solo Optimistisch auto'!G19</f>
        <v>12384.3972126224</v>
      </c>
    </row>
    <row r="29" customFormat="false" ht="15" hidden="false" customHeight="false" outlineLevel="0" collapsed="false">
      <c r="A29" s="5" t="s">
        <v>31</v>
      </c>
      <c r="B29" s="6" t="n">
        <f aca="false">'Solo Konservativ'!H19</f>
        <v>6715.68956522634</v>
      </c>
      <c r="C29" s="6" t="n">
        <f aca="false">'Solo Konservativ auto'!H19</f>
        <v>6715.68956522634</v>
      </c>
      <c r="D29" s="6" t="n">
        <f aca="false">'Solo Basis'!H19</f>
        <v>9665.95834570973</v>
      </c>
      <c r="E29" s="6" t="n">
        <f aca="false">'Solo Basis auto'!H19</f>
        <v>10596.8819746893</v>
      </c>
      <c r="F29" s="6" t="n">
        <f aca="false">'Solo Optimistisch'!H19</f>
        <v>10408.2518970577</v>
      </c>
      <c r="G29" s="6" t="n">
        <f aca="false">'Solo Optimistisch auto'!H19</f>
        <v>14478.0743841523</v>
      </c>
    </row>
    <row r="30" customFormat="false" ht="15" hidden="false" customHeight="false" outlineLevel="0" collapsed="false">
      <c r="A30" s="5" t="s">
        <v>32</v>
      </c>
      <c r="B30" s="6" t="n">
        <f aca="false">'Solo Konservativ'!I19</f>
        <v>7849.30914117782</v>
      </c>
      <c r="C30" s="6" t="n">
        <f aca="false">'Solo Konservativ auto'!I19</f>
        <v>7849.30914117782</v>
      </c>
      <c r="D30" s="6" t="n">
        <f aca="false">'Solo Basis'!I19</f>
        <v>10666.9132082164</v>
      </c>
      <c r="E30" s="6" t="n">
        <f aca="false">'Solo Basis auto'!I19</f>
        <v>12285.5958749259</v>
      </c>
      <c r="F30" s="6" t="n">
        <f aca="false">'Solo Optimistisch'!I19</f>
        <v>11243.9825981364</v>
      </c>
      <c r="G30" s="6" t="n">
        <f aca="false">'Solo Optimistisch auto'!I19</f>
        <v>16721.8826086741</v>
      </c>
    </row>
    <row r="31" customFormat="false" ht="15" hidden="false" customHeight="false" outlineLevel="0" collapsed="false">
      <c r="A31" s="5" t="s">
        <v>33</v>
      </c>
      <c r="B31" s="6" t="n">
        <f aca="false">'Solo Konservativ'!J19</f>
        <v>8946.70211910961</v>
      </c>
      <c r="C31" s="6" t="n">
        <f aca="false">'Solo Konservativ auto'!J19</f>
        <v>8946.70211910961</v>
      </c>
      <c r="D31" s="6" t="n">
        <f aca="false">'Solo Basis'!J19</f>
        <v>11448.4773764429</v>
      </c>
      <c r="E31" s="6" t="n">
        <f aca="false">'Solo Basis auto'!J19</f>
        <v>13920.2459954229</v>
      </c>
      <c r="F31" s="6" t="n">
        <f aca="false">'Solo Optimistisch'!J19</f>
        <v>11896.9325357244</v>
      </c>
      <c r="G31" s="6" t="n">
        <f aca="false">'Solo Optimistisch auto'!J19</f>
        <v>18893.7898717362</v>
      </c>
    </row>
    <row r="32" customFormat="false" ht="15" hidden="false" customHeight="false" outlineLevel="0" collapsed="false">
      <c r="A32" s="5" t="s">
        <v>34</v>
      </c>
      <c r="B32" s="6" t="n">
        <f aca="false">'Solo Konservativ'!K19</f>
        <v>10009.2430192319</v>
      </c>
      <c r="C32" s="6" t="n">
        <f aca="false">'Solo Konservativ auto'!K19</f>
        <v>10009.2430192319</v>
      </c>
      <c r="D32" s="6" t="n">
        <f aca="false">'Solo Basis'!K19</f>
        <v>12059.0809831743</v>
      </c>
      <c r="E32" s="6" t="n">
        <f aca="false">'Solo Basis auto'!K19</f>
        <v>15502.8872963824</v>
      </c>
      <c r="F32" s="6" t="n">
        <f aca="false">'Solo Optimistisch'!K19</f>
        <v>12407.4377818498</v>
      </c>
      <c r="G32" s="6" t="n">
        <f aca="false">'Solo Optimistisch auto'!K19</f>
        <v>20670.1861013824</v>
      </c>
    </row>
    <row r="33" customFormat="false" ht="15" hidden="false" customHeight="false" outlineLevel="0" collapsed="false">
      <c r="A33" s="5" t="s">
        <v>35</v>
      </c>
      <c r="B33" s="6" t="n">
        <f aca="false">'Solo Konservativ'!L19</f>
        <v>10944.6873469234</v>
      </c>
      <c r="C33" s="6" t="n">
        <f aca="false">'Solo Konservativ auto'!L19</f>
        <v>11038.2474580828</v>
      </c>
      <c r="D33" s="6" t="n">
        <f aca="false">'Solo Basis'!L19</f>
        <v>12536.4551141059</v>
      </c>
      <c r="E33" s="6" t="n">
        <f aca="false">'Solo Basis auto'!L19</f>
        <v>17035.486558269</v>
      </c>
      <c r="F33" s="6" t="n">
        <f aca="false">'Solo Optimistisch'!L19</f>
        <v>12806.9239518319</v>
      </c>
      <c r="G33" s="6" t="n">
        <f aca="false">'Solo Optimistisch auto'!L19</f>
        <v>22050.04962127</v>
      </c>
    </row>
    <row r="34" customFormat="false" ht="15" hidden="false" customHeight="false" outlineLevel="0" collapsed="false">
      <c r="A34" s="5" t="s">
        <v>36</v>
      </c>
      <c r="B34" s="6" t="n">
        <f aca="false">'Solo Konservativ'!M19</f>
        <v>11674.6982181514</v>
      </c>
      <c r="C34" s="6" t="n">
        <f aca="false">'Solo Konservativ auto'!M19</f>
        <v>12034.9748621357</v>
      </c>
      <c r="D34" s="6" t="n">
        <f aca="false">'Solo Basis'!M19</f>
        <v>12909.9956702721</v>
      </c>
      <c r="E34" s="6" t="n">
        <f aca="false">'Solo Basis auto'!M19</f>
        <v>18519.92644752</v>
      </c>
      <c r="F34" s="6" t="n">
        <f aca="false">'Solo Optimistisch'!M19</f>
        <v>13119.8748738188</v>
      </c>
      <c r="G34" s="6" t="n">
        <f aca="false">'Solo Optimistisch auto'!M19</f>
        <v>23122.3170031881</v>
      </c>
    </row>
    <row r="35" customFormat="false" ht="15" hidden="false" customHeight="false" outlineLevel="0" collapsed="false">
      <c r="A35" s="5" t="s">
        <v>37</v>
      </c>
      <c r="B35" s="6" t="n">
        <f aca="false">'Solo Konservativ'!N19</f>
        <v>12244.6452940386</v>
      </c>
      <c r="C35" s="6" t="n">
        <f aca="false">'Solo Konservativ auto'!N19</f>
        <v>13000.6310514375</v>
      </c>
      <c r="D35" s="6" t="n">
        <f aca="false">'Solo Basis'!N19</f>
        <v>13202.604945852</v>
      </c>
      <c r="E35" s="6" t="n">
        <f aca="false">'Solo Basis auto'!N19</f>
        <v>19958.0093874316</v>
      </c>
      <c r="F35" s="6" t="n">
        <f aca="false">'Solo Optimistisch'!N19</f>
        <v>13365.3662905698</v>
      </c>
      <c r="G35" s="6" t="n">
        <f aca="false">'Solo Optimistisch auto'!N19</f>
        <v>23955.9722926314</v>
      </c>
    </row>
    <row r="36" customFormat="false" ht="15" hidden="false" customHeight="false" outlineLevel="0" collapsed="false">
      <c r="A36" s="5" t="s">
        <v>38</v>
      </c>
      <c r="B36" s="6" t="n">
        <f aca="false">'Solo Konservativ'!O19</f>
        <v>12689.8743687444</v>
      </c>
      <c r="C36" s="6" t="n">
        <f aca="false">'Solo Konservativ auto'!O19</f>
        <v>13936.3706996292</v>
      </c>
      <c r="D36" s="6" t="n">
        <f aca="false">'Solo Basis'!O19</f>
        <v>13432.1263181341</v>
      </c>
      <c r="E36" s="6" t="n">
        <f aca="false">'Solo Basis auto'!O19</f>
        <v>21351.4612437443</v>
      </c>
      <c r="F36" s="6" t="n">
        <f aca="false">'Solo Optimistisch'!O19</f>
        <v>13558.2606979023</v>
      </c>
      <c r="G36" s="6" t="n">
        <f aca="false">'Solo Optimistisch auto'!O19</f>
        <v>24604.5233474228</v>
      </c>
    </row>
    <row r="37" customFormat="false" ht="15" hidden="false" customHeight="false" outlineLevel="0" collapsed="false">
      <c r="A37" s="5" t="s">
        <v>39</v>
      </c>
      <c r="B37" s="6" t="n">
        <f aca="false">'Solo Konservativ'!P19</f>
        <v>13037.922097334</v>
      </c>
      <c r="C37" s="6" t="n">
        <f aca="false">'Solo Konservativ auto'!P19</f>
        <v>14843.2996763857</v>
      </c>
      <c r="D37" s="6" t="n">
        <f aca="false">'Solo Basis'!P19</f>
        <v>13612.4619499298</v>
      </c>
      <c r="E37" s="6" t="n">
        <f aca="false">'Solo Basis auto'!P19</f>
        <v>22574.7620270967</v>
      </c>
      <c r="F37" s="6" t="n">
        <f aca="false">'Solo Optimistisch'!P19</f>
        <v>13710.138190312</v>
      </c>
      <c r="G37" s="6" t="n">
        <f aca="false">'Solo Optimistisch auto'!P19</f>
        <v>25109.4739109224</v>
      </c>
    </row>
    <row r="38" customFormat="false" ht="15" hidden="false" customHeight="false" outlineLevel="0" collapsed="false">
      <c r="A38" s="5" t="s">
        <v>40</v>
      </c>
      <c r="B38" s="6" t="n">
        <f aca="false">'Solo Konservativ'!Q19</f>
        <v>13310.2413878708</v>
      </c>
      <c r="C38" s="6" t="n">
        <f aca="false">'Solo Konservativ auto'!Q19</f>
        <v>15722.4772780163</v>
      </c>
      <c r="D38" s="6" t="n">
        <f aca="false">'Solo Basis'!Q19</f>
        <v>13754.4435415908</v>
      </c>
      <c r="E38" s="6" t="n">
        <f aca="false">'Solo Basis auto'!Q19</f>
        <v>23525.7253500693</v>
      </c>
      <c r="F38" s="6" t="n">
        <f aca="false">'Solo Optimistisch'!Q19</f>
        <v>13830.0216419133</v>
      </c>
      <c r="G38" s="6" t="n">
        <f aca="false">'Solo Optimistisch auto'!Q19</f>
        <v>25503.0167265263</v>
      </c>
    </row>
    <row r="39" customFormat="false" ht="15" hidden="false" customHeight="false" outlineLevel="0" collapsed="false">
      <c r="A39" s="5" t="s">
        <v>41</v>
      </c>
      <c r="B39" s="6" t="n">
        <f aca="false">'Solo Konservativ'!R19</f>
        <v>13523.5455746681</v>
      </c>
      <c r="C39" s="6" t="n">
        <f aca="false">'Solo Konservativ auto'!R19</f>
        <v>16574.9183516813</v>
      </c>
      <c r="D39" s="6" t="n">
        <f aca="false">'Solo Basis'!R19</f>
        <v>13866.5106953375</v>
      </c>
      <c r="E39" s="6" t="n">
        <f aca="false">'Solo Basis auto'!R19</f>
        <v>24265.4198367805</v>
      </c>
      <c r="F39" s="6" t="n">
        <f aca="false">'Solo Optimistisch'!R19</f>
        <v>13924.9416634625</v>
      </c>
      <c r="G39" s="6" t="n">
        <f aca="false">'Solo Optimistisch auto'!R19</f>
        <v>25810.122452653</v>
      </c>
    </row>
    <row r="40" customFormat="false" ht="15" hidden="false" customHeight="false" outlineLevel="0" collapsed="false">
      <c r="A40" s="5" t="s">
        <v>42</v>
      </c>
      <c r="B40" s="6" t="n">
        <f aca="false">'Solo Konservativ'!S19</f>
        <v>13690.8556015951</v>
      </c>
      <c r="C40" s="6" t="n">
        <f aca="false">'Solo Konservativ auto'!S19</f>
        <v>17401.5953184124</v>
      </c>
      <c r="D40" s="6" t="n">
        <f aca="false">'Solo Basis'!S19</f>
        <v>13955.2393991777</v>
      </c>
      <c r="E40" s="6" t="n">
        <f aca="false">'Solo Basis auto'!S19</f>
        <v>24841.2139511731</v>
      </c>
      <c r="F40" s="6" t="n">
        <f aca="false">'Solo Optimistisch'!S19</f>
        <v>14000.3767362617</v>
      </c>
      <c r="G40" s="6" t="n">
        <f aca="false">'Solo Optimistisch auto'!S19</f>
        <v>26050.1599302323</v>
      </c>
    </row>
    <row r="41" customFormat="false" ht="15" hidden="false" customHeight="false" outlineLevel="0" collapsed="false">
      <c r="A41" s="5" t="s">
        <v>43</v>
      </c>
      <c r="B41" s="6" t="n">
        <f aca="false">'Solo Konservativ'!T19</f>
        <v>13822.3158342699</v>
      </c>
      <c r="C41" s="6" t="n">
        <f aca="false">'Solo Konservativ auto'!T19</f>
        <v>18203.4400998691</v>
      </c>
      <c r="D41" s="6" t="n">
        <f aca="false">'Solo Basis'!T19</f>
        <v>14025.7537458737</v>
      </c>
      <c r="E41" s="6" t="n">
        <f aca="false">'Solo Basis auto'!T19</f>
        <v>25289.8496105845</v>
      </c>
      <c r="F41" s="6" t="n">
        <f aca="false">'Solo Optimistisch'!T19</f>
        <v>14060.5961020672</v>
      </c>
      <c r="G41" s="6" t="n">
        <f aca="false">'Solo Optimistisch auto'!T19</f>
        <v>26238.1529436499</v>
      </c>
    </row>
    <row r="42" customFormat="false" ht="15" hidden="false" customHeight="false" outlineLevel="0" collapsed="false">
      <c r="A42" s="5" t="s">
        <v>44</v>
      </c>
      <c r="B42" s="6" t="n">
        <f aca="false">'Solo Konservativ'!U19</f>
        <v>13925.8296217304</v>
      </c>
      <c r="C42" s="6" t="n">
        <f aca="false">'Solo Konservativ auto'!U19</f>
        <v>18981.3459535181</v>
      </c>
      <c r="D42" s="6" t="n">
        <f aca="false">'Solo Basis'!U19</f>
        <v>14082.0466856763</v>
      </c>
      <c r="E42" s="6" t="n">
        <f aca="false">'Solo Basis auto'!U19</f>
        <v>25639.8262352704</v>
      </c>
      <c r="F42" s="6" t="n">
        <f aca="false">'Solo Optimistisch'!U19</f>
        <v>14108.9268946244</v>
      </c>
      <c r="G42" s="6" t="n">
        <f aca="false">'Solo Optimistisch auto'!U19</f>
        <v>26385.7550277522</v>
      </c>
    </row>
    <row r="43" customFormat="false" ht="15" hidden="false" customHeight="false" outlineLevel="0" collapsed="false">
      <c r="A43" s="5" t="s">
        <v>45</v>
      </c>
      <c r="B43" s="6" t="n">
        <f aca="false">'Solo Konservativ'!V19</f>
        <v>14007.5544332701</v>
      </c>
      <c r="C43" s="6" t="n">
        <f aca="false">'Solo Konservativ auto'!V19</f>
        <v>19736.1692206937</v>
      </c>
      <c r="D43" s="6" t="n">
        <f aca="false">'Solo Basis'!V19</f>
        <v>14127.2299114186</v>
      </c>
      <c r="E43" s="6" t="n">
        <f aca="false">'Solo Basis auto'!V19</f>
        <v>25913.249937395</v>
      </c>
      <c r="F43" s="6" t="n">
        <f aca="false">'Solo Optimistisch'!V19</f>
        <v>14147.9622512873</v>
      </c>
      <c r="G43" s="6" t="n">
        <f aca="false">'Solo Optimistisch auto'!V19</f>
        <v>26502.0055772105</v>
      </c>
    </row>
    <row r="44" customFormat="false" ht="15" hidden="false" customHeight="false" outlineLevel="0" collapsed="false">
      <c r="A44" s="5" t="s">
        <v>46</v>
      </c>
      <c r="B44" s="6" t="n">
        <f aca="false">'Solo Konservativ'!W19</f>
        <v>14072.2875967845</v>
      </c>
      <c r="C44" s="6" t="n">
        <f aca="false">'Solo Konservativ auto'!W19</f>
        <v>20468.7309917774</v>
      </c>
      <c r="D44" s="6" t="n">
        <f aca="false">'Solo Basis'!W19</f>
        <v>14163.7285338531</v>
      </c>
      <c r="E44" s="6" t="n">
        <f aca="false">'Solo Basis auto'!W19</f>
        <v>26127.267845307</v>
      </c>
      <c r="F44" s="6" t="n">
        <f aca="false">'Solo Optimistisch'!W19</f>
        <v>14179.723444879</v>
      </c>
      <c r="G44" s="6" t="n">
        <f aca="false">'Solo Optimistisch auto'!W19</f>
        <v>26593.9163230069</v>
      </c>
    </row>
    <row r="45" customFormat="false" ht="15" hidden="false" customHeight="false" outlineLevel="0" collapsed="false">
      <c r="A45" s="5" t="s">
        <v>47</v>
      </c>
      <c r="B45" s="6" t="n">
        <f aca="false">'Solo Konservativ'!X19</f>
        <v>14123.7668098182</v>
      </c>
      <c r="C45" s="6" t="n">
        <f aca="false">'Solo Konservativ auto'!X19</f>
        <v>21179.8186925241</v>
      </c>
      <c r="D45" s="6" t="n">
        <f aca="false">'Solo Basis'!X19</f>
        <v>14193.4327455655</v>
      </c>
      <c r="E45" s="6" t="n">
        <f aca="false">'Solo Basis auto'!X19</f>
        <v>26295.1806378856</v>
      </c>
      <c r="F45" s="6" t="n">
        <f aca="false">'Solo Optimistisch'!X19</f>
        <v>14205.7861947828</v>
      </c>
      <c r="G45" s="6" t="n">
        <f aca="false">'Solo Optimistisch auto'!X19</f>
        <v>26666.9262331361</v>
      </c>
    </row>
    <row r="46" customFormat="false" ht="15" hidden="false" customHeight="false" outlineLevel="0" collapsed="false">
      <c r="A46" s="5" t="s">
        <v>48</v>
      </c>
      <c r="B46" s="6" t="n">
        <f aca="false">'Solo Konservativ'!Y19</f>
        <v>14164.9042539678</v>
      </c>
      <c r="C46" s="6" t="n">
        <f aca="false">'Solo Konservativ auto'!Y19</f>
        <v>21870.1875953666</v>
      </c>
      <c r="D46" s="6" t="n">
        <f aca="false">'Solo Basis'!Y19</f>
        <v>14217.8159766269</v>
      </c>
      <c r="E46" s="6" t="n">
        <f aca="false">'Solo Basis auto'!Y19</f>
        <v>26427.3054824371</v>
      </c>
      <c r="F46" s="6" t="n">
        <f aca="false">'Solo Optimistisch'!Y19</f>
        <v>14227.3790716618</v>
      </c>
      <c r="G46" s="6" t="n">
        <f aca="false">'Solo Optimistisch auto'!Y19</f>
        <v>26725.2543565207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4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1" t="s">
        <v>49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50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 t="s">
        <v>51</v>
      </c>
      <c r="B3" s="11" t="n">
        <v>10</v>
      </c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4" t="s">
        <v>52</v>
      </c>
      <c r="B5" s="4" t="s">
        <v>53</v>
      </c>
      <c r="C5" s="4" t="s">
        <v>54</v>
      </c>
      <c r="D5" s="4" t="s">
        <v>55</v>
      </c>
      <c r="E5" s="4" t="s">
        <v>56</v>
      </c>
      <c r="F5" s="4" t="s">
        <v>57</v>
      </c>
      <c r="G5" s="4" t="s">
        <v>58</v>
      </c>
      <c r="H5" s="4" t="s">
        <v>59</v>
      </c>
      <c r="I5" s="4" t="s">
        <v>60</v>
      </c>
    </row>
    <row r="6" customFormat="false" ht="15" hidden="false" customHeight="false" outlineLevel="0" collapsed="false">
      <c r="A6" s="5" t="s">
        <v>61</v>
      </c>
      <c r="B6" s="12" t="n">
        <v>1490</v>
      </c>
      <c r="C6" s="12" t="n">
        <v>0</v>
      </c>
      <c r="D6" s="13" t="n">
        <v>16</v>
      </c>
      <c r="E6" s="13" t="n">
        <v>0</v>
      </c>
      <c r="F6" s="14" t="n">
        <f aca="false">B6+12*C6</f>
        <v>1490</v>
      </c>
      <c r="G6" s="15" t="n">
        <f aca="false">D6+12*E6+$B$3</f>
        <v>26</v>
      </c>
      <c r="H6" s="16" t="n">
        <f aca="false">IF(G6&gt;0,F6/G6,0)</f>
        <v>57.3076923076923</v>
      </c>
      <c r="I6" s="5" t="s">
        <v>62</v>
      </c>
    </row>
    <row r="7" customFormat="false" ht="15" hidden="false" customHeight="false" outlineLevel="0" collapsed="false">
      <c r="A7" s="5" t="s">
        <v>63</v>
      </c>
      <c r="B7" s="12" t="n">
        <v>2990</v>
      </c>
      <c r="C7" s="12" t="n">
        <v>0</v>
      </c>
      <c r="D7" s="13" t="n">
        <v>28</v>
      </c>
      <c r="E7" s="13" t="n">
        <v>0</v>
      </c>
      <c r="F7" s="14" t="n">
        <f aca="false">B7+12*C7</f>
        <v>2990</v>
      </c>
      <c r="G7" s="15" t="n">
        <f aca="false">D7+12*E7+$B$3</f>
        <v>38</v>
      </c>
      <c r="H7" s="16" t="n">
        <f aca="false">IF(G7&gt;0,F7/G7,0)</f>
        <v>78.6842105263158</v>
      </c>
      <c r="I7" s="5" t="s">
        <v>64</v>
      </c>
    </row>
    <row r="8" customFormat="false" ht="15" hidden="false" customHeight="false" outlineLevel="0" collapsed="false">
      <c r="A8" s="5" t="s">
        <v>65</v>
      </c>
      <c r="B8" s="12" t="n">
        <v>0</v>
      </c>
      <c r="C8" s="12" t="n">
        <v>49</v>
      </c>
      <c r="D8" s="13" t="n">
        <v>0</v>
      </c>
      <c r="E8" s="13" t="n">
        <v>0.25</v>
      </c>
      <c r="F8" s="14" t="n">
        <f aca="false">B8+12*C8</f>
        <v>588</v>
      </c>
      <c r="G8" s="15" t="n">
        <f aca="false">D8+12*E8+0</f>
        <v>3</v>
      </c>
      <c r="H8" s="16" t="n">
        <f aca="false">IF(G8&gt;0,F8/G8,0)</f>
        <v>196</v>
      </c>
      <c r="I8" s="5" t="s">
        <v>66</v>
      </c>
    </row>
    <row r="9" customFormat="false" ht="15" hidden="false" customHeight="false" outlineLevel="0" collapsed="false">
      <c r="A9" s="5" t="s">
        <v>67</v>
      </c>
      <c r="B9" s="12" t="n">
        <v>0</v>
      </c>
      <c r="C9" s="12" t="n">
        <v>89</v>
      </c>
      <c r="D9" s="13" t="n">
        <v>0</v>
      </c>
      <c r="E9" s="13" t="n">
        <v>0.5</v>
      </c>
      <c r="F9" s="14" t="n">
        <f aca="false">B9+12*C9</f>
        <v>1068</v>
      </c>
      <c r="G9" s="15" t="n">
        <f aca="false">D9+12*E9+0</f>
        <v>6</v>
      </c>
      <c r="H9" s="16" t="n">
        <f aca="false">IF(G9&gt;0,F9/G9,0)</f>
        <v>178</v>
      </c>
      <c r="I9" s="5" t="s">
        <v>68</v>
      </c>
    </row>
    <row r="10" customFormat="false" ht="15" hidden="false" customHeight="false" outlineLevel="0" collapsed="false">
      <c r="A10" s="5" t="s">
        <v>69</v>
      </c>
      <c r="B10" s="12" t="n">
        <v>0</v>
      </c>
      <c r="C10" s="12" t="n">
        <v>390</v>
      </c>
      <c r="D10" s="13" t="n">
        <v>4</v>
      </c>
      <c r="E10" s="13" t="n">
        <v>5</v>
      </c>
      <c r="F10" s="14" t="n">
        <f aca="false">B10+12*C10</f>
        <v>4680</v>
      </c>
      <c r="G10" s="15" t="n">
        <f aca="false">D10+12*E10+$B$3</f>
        <v>74</v>
      </c>
      <c r="H10" s="16" t="n">
        <f aca="false">IF(G10&gt;0,F10/G10,0)</f>
        <v>63.2432432432432</v>
      </c>
      <c r="I10" s="5" t="s">
        <v>70</v>
      </c>
    </row>
    <row r="11" customFormat="false" ht="15" hidden="false" customHeight="false" outlineLevel="0" collapsed="false">
      <c r="A11" s="5" t="s">
        <v>71</v>
      </c>
      <c r="B11" s="12" t="n">
        <v>0</v>
      </c>
      <c r="C11" s="12" t="n">
        <v>690</v>
      </c>
      <c r="D11" s="13" t="n">
        <v>6</v>
      </c>
      <c r="E11" s="13" t="n">
        <v>8</v>
      </c>
      <c r="F11" s="14" t="n">
        <f aca="false">B11+12*C11</f>
        <v>8280</v>
      </c>
      <c r="G11" s="15" t="n">
        <f aca="false">D11+12*E11+$B$3</f>
        <v>112</v>
      </c>
      <c r="H11" s="16" t="n">
        <f aca="false">IF(G11&gt;0,F11/G11,0)</f>
        <v>73.9285714285714</v>
      </c>
      <c r="I11" s="5" t="s">
        <v>70</v>
      </c>
    </row>
    <row r="12" customFormat="false" ht="15" hidden="false" customHeight="false" outlineLevel="0" collapsed="false">
      <c r="A12" s="5" t="s">
        <v>72</v>
      </c>
      <c r="B12" s="12" t="n">
        <v>390</v>
      </c>
      <c r="C12" s="12" t="n">
        <v>290</v>
      </c>
      <c r="D12" s="13" t="n">
        <v>4</v>
      </c>
      <c r="E12" s="13" t="n">
        <v>2.5</v>
      </c>
      <c r="F12" s="14" t="n">
        <f aca="false">B12+12*C12</f>
        <v>3870</v>
      </c>
      <c r="G12" s="15" t="n">
        <f aca="false">D12+12*E12+$B$3</f>
        <v>44</v>
      </c>
      <c r="H12" s="16" t="n">
        <f aca="false">IF(G12&gt;0,F12/G12,0)</f>
        <v>87.9545454545455</v>
      </c>
      <c r="I12" s="5" t="s">
        <v>73</v>
      </c>
    </row>
    <row r="13" customFormat="false" ht="15" hidden="false" customHeight="false" outlineLevel="0" collapsed="false">
      <c r="A13" s="5" t="s">
        <v>74</v>
      </c>
      <c r="B13" s="12" t="n">
        <v>1490</v>
      </c>
      <c r="C13" s="12" t="n">
        <v>790</v>
      </c>
      <c r="D13" s="13" t="n">
        <v>10</v>
      </c>
      <c r="E13" s="13" t="n">
        <v>7</v>
      </c>
      <c r="F13" s="14" t="n">
        <f aca="false">B13+12*C13</f>
        <v>10970</v>
      </c>
      <c r="G13" s="15" t="n">
        <f aca="false">D13+12*E13+$B$3</f>
        <v>104</v>
      </c>
      <c r="H13" s="16" t="n">
        <f aca="false">IF(G13&gt;0,F13/G13,0)</f>
        <v>105.480769230769</v>
      </c>
      <c r="I13" s="5" t="s">
        <v>75</v>
      </c>
    </row>
    <row r="14" customFormat="false" ht="15" hidden="false" customHeight="false" outlineLevel="0" collapsed="false">
      <c r="A14" s="5" t="s">
        <v>76</v>
      </c>
      <c r="B14" s="12" t="n">
        <v>1490</v>
      </c>
      <c r="C14" s="12" t="n">
        <v>1190</v>
      </c>
      <c r="D14" s="13" t="n">
        <v>28</v>
      </c>
      <c r="E14" s="13" t="n">
        <v>13</v>
      </c>
      <c r="F14" s="14" t="n">
        <f aca="false">B14+12*C14</f>
        <v>15770</v>
      </c>
      <c r="G14" s="15" t="n">
        <f aca="false">D14+12*E14+$B$3</f>
        <v>194</v>
      </c>
      <c r="H14" s="16" t="n">
        <f aca="false">IF(G14&gt;0,F14/G14,0)</f>
        <v>81.2886597938144</v>
      </c>
      <c r="I14" s="5" t="s">
        <v>77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15" hidden="false" customHeight="false" outlineLevel="0" collapsed="false">
      <c r="A16" s="3" t="s">
        <v>78</v>
      </c>
      <c r="B16" s="2"/>
      <c r="C16" s="2"/>
      <c r="D16" s="2"/>
      <c r="E16" s="2"/>
      <c r="F16" s="2"/>
      <c r="G16" s="2"/>
      <c r="H16" s="2"/>
      <c r="I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79</v>
      </c>
      <c r="B1" s="2"/>
      <c r="C1" s="2"/>
      <c r="D1" s="2"/>
    </row>
    <row r="2" customFormat="false" ht="15" hidden="false" customHeight="false" outlineLevel="0" collapsed="false">
      <c r="A2" s="3" t="s">
        <v>80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81</v>
      </c>
      <c r="B4" s="4" t="s">
        <v>17</v>
      </c>
      <c r="C4" s="2"/>
      <c r="D4" s="2"/>
    </row>
    <row r="5" customFormat="false" ht="15" hidden="false" customHeight="false" outlineLevel="0" collapsed="false">
      <c r="A5" s="5" t="s">
        <v>82</v>
      </c>
      <c r="B5" s="12" t="n">
        <v>2200</v>
      </c>
      <c r="C5" s="2"/>
      <c r="D5" s="2"/>
    </row>
    <row r="6" customFormat="false" ht="15" hidden="false" customHeight="false" outlineLevel="0" collapsed="false">
      <c r="A6" s="5" t="s">
        <v>83</v>
      </c>
      <c r="B6" s="12" t="n">
        <v>69</v>
      </c>
      <c r="C6" s="2"/>
      <c r="D6" s="2"/>
    </row>
    <row r="7" customFormat="false" ht="15" hidden="false" customHeight="false" outlineLevel="0" collapsed="false">
      <c r="A7" s="5" t="s">
        <v>84</v>
      </c>
      <c r="B7" s="12" t="n">
        <v>1190</v>
      </c>
      <c r="C7" s="2"/>
      <c r="D7" s="2"/>
    </row>
    <row r="8" customFormat="false" ht="15" hidden="false" customHeight="false" outlineLevel="0" collapsed="false">
      <c r="A8" s="5" t="s">
        <v>85</v>
      </c>
      <c r="B8" s="12" t="n">
        <v>1490</v>
      </c>
      <c r="C8" s="2"/>
      <c r="D8" s="2"/>
    </row>
    <row r="9" customFormat="false" ht="15" hidden="false" customHeight="false" outlineLevel="0" collapsed="false">
      <c r="A9" s="5" t="s">
        <v>86</v>
      </c>
      <c r="B9" s="12" t="n">
        <v>520</v>
      </c>
      <c r="C9" s="2"/>
      <c r="D9" s="2"/>
    </row>
    <row r="10" customFormat="false" ht="15" hidden="false" customHeight="false" outlineLevel="0" collapsed="false">
      <c r="A10" s="5" t="s">
        <v>87</v>
      </c>
      <c r="B10" s="12" t="n">
        <v>790</v>
      </c>
      <c r="C10" s="2"/>
      <c r="D10" s="2"/>
    </row>
    <row r="11" customFormat="false" ht="15" hidden="false" customHeight="false" outlineLevel="0" collapsed="false">
      <c r="A11" s="5" t="s">
        <v>88</v>
      </c>
      <c r="B11" s="12" t="n">
        <v>1490</v>
      </c>
      <c r="C11" s="2"/>
      <c r="D11" s="2"/>
    </row>
    <row r="12" customFormat="false" ht="15" hidden="false" customHeight="false" outlineLevel="0" collapsed="false">
      <c r="A12" s="5" t="s">
        <v>89</v>
      </c>
      <c r="B12" s="17" t="n">
        <v>0.25</v>
      </c>
      <c r="C12" s="2"/>
      <c r="D12" s="2"/>
    </row>
    <row r="13" customFormat="false" ht="15" hidden="false" customHeight="false" outlineLevel="0" collapsed="false">
      <c r="A13" s="5" t="s">
        <v>90</v>
      </c>
      <c r="B13" s="17" t="n">
        <v>0.25</v>
      </c>
      <c r="C13" s="2"/>
      <c r="D13" s="2"/>
    </row>
    <row r="14" customFormat="false" ht="15" hidden="false" customHeight="false" outlineLevel="0" collapsed="false">
      <c r="A14" s="5" t="s">
        <v>91</v>
      </c>
      <c r="B14" s="17" t="n">
        <v>0.25</v>
      </c>
      <c r="C14" s="2"/>
      <c r="D14" s="2"/>
    </row>
    <row r="15" customFormat="false" ht="15" hidden="false" customHeight="false" outlineLevel="0" collapsed="false">
      <c r="A15" s="5" t="s">
        <v>92</v>
      </c>
      <c r="B15" s="18" t="n">
        <v>0.25</v>
      </c>
      <c r="C15" s="2"/>
      <c r="D15" s="2"/>
    </row>
    <row r="16" customFormat="false" ht="15" hidden="false" customHeight="false" outlineLevel="0" collapsed="false">
      <c r="A16" s="5" t="s">
        <v>93</v>
      </c>
      <c r="B16" s="19" t="n">
        <v>8</v>
      </c>
      <c r="C16" s="2"/>
      <c r="D16" s="2"/>
    </row>
    <row r="17" customFormat="false" ht="15" hidden="false" customHeight="false" outlineLevel="0" collapsed="false">
      <c r="A17" s="5" t="s">
        <v>94</v>
      </c>
      <c r="B17" s="17" t="n">
        <v>0.01</v>
      </c>
      <c r="C17" s="2"/>
      <c r="D17" s="2"/>
    </row>
    <row r="18" customFormat="false" ht="15" hidden="false" customHeight="false" outlineLevel="0" collapsed="false">
      <c r="A18" s="5" t="s">
        <v>95</v>
      </c>
      <c r="B18" s="17" t="n">
        <v>0.02</v>
      </c>
      <c r="C18" s="2"/>
      <c r="D18" s="2"/>
    </row>
    <row r="19" customFormat="false" ht="15" hidden="false" customHeight="false" outlineLevel="0" collapsed="false">
      <c r="A19" s="5" t="s">
        <v>96</v>
      </c>
      <c r="B19" s="17" t="n">
        <v>0.03</v>
      </c>
      <c r="C19" s="2"/>
      <c r="D19" s="2"/>
    </row>
    <row r="20" customFormat="false" ht="15" hidden="false" customHeight="false" outlineLevel="0" collapsed="false">
      <c r="A20" s="5" t="s">
        <v>97</v>
      </c>
      <c r="B20" s="17" t="n">
        <v>0.05</v>
      </c>
      <c r="C20" s="2"/>
      <c r="D20" s="2"/>
    </row>
    <row r="21" customFormat="false" ht="15" hidden="false" customHeight="false" outlineLevel="0" collapsed="false">
      <c r="A21" s="5" t="s">
        <v>98</v>
      </c>
      <c r="B21" s="13" t="n">
        <v>24</v>
      </c>
      <c r="C21" s="2"/>
      <c r="D21" s="2"/>
    </row>
    <row r="22" customFormat="false" ht="15" hidden="false" customHeight="false" outlineLevel="0" collapsed="false">
      <c r="A22" s="5" t="s">
        <v>99</v>
      </c>
      <c r="B22" s="13" t="n">
        <v>28</v>
      </c>
      <c r="C22" s="2"/>
      <c r="D22" s="2"/>
    </row>
    <row r="23" customFormat="false" ht="15" hidden="false" customHeight="false" outlineLevel="0" collapsed="false">
      <c r="A23" s="5" t="s">
        <v>100</v>
      </c>
      <c r="B23" s="13" t="n">
        <v>10</v>
      </c>
      <c r="C23" s="2"/>
      <c r="D23" s="2"/>
    </row>
    <row r="24" customFormat="false" ht="15" hidden="false" customHeight="false" outlineLevel="0" collapsed="false">
      <c r="A24" s="5" t="s">
        <v>101</v>
      </c>
      <c r="B24" s="13" t="n">
        <v>10</v>
      </c>
      <c r="C24" s="2"/>
      <c r="D24" s="2"/>
    </row>
    <row r="25" customFormat="false" ht="15" hidden="false" customHeight="false" outlineLevel="0" collapsed="false">
      <c r="A25" s="5" t="s">
        <v>102</v>
      </c>
      <c r="B25" s="13" t="n">
        <v>0.25</v>
      </c>
      <c r="C25" s="2"/>
      <c r="D25" s="2"/>
    </row>
    <row r="26" customFormat="false" ht="15" hidden="false" customHeight="false" outlineLevel="0" collapsed="false">
      <c r="A26" s="5" t="s">
        <v>103</v>
      </c>
      <c r="B26" s="13" t="n">
        <v>13</v>
      </c>
      <c r="C26" s="2"/>
      <c r="D26" s="2"/>
    </row>
    <row r="27" customFormat="false" ht="15" hidden="false" customHeight="false" outlineLevel="0" collapsed="false">
      <c r="A27" s="5" t="s">
        <v>104</v>
      </c>
      <c r="B27" s="13" t="n">
        <v>6</v>
      </c>
      <c r="C27" s="2"/>
      <c r="D27" s="2"/>
    </row>
    <row r="28" customFormat="false" ht="15" hidden="false" customHeight="false" outlineLevel="0" collapsed="false">
      <c r="A28" s="5" t="s">
        <v>105</v>
      </c>
      <c r="B28" s="13" t="n">
        <v>7</v>
      </c>
      <c r="C28" s="2"/>
      <c r="D28" s="2"/>
    </row>
    <row r="29" customFormat="false" ht="15" hidden="false" customHeight="false" outlineLevel="0" collapsed="false">
      <c r="A29" s="5" t="s">
        <v>51</v>
      </c>
      <c r="B29" s="20" t="n">
        <v>10</v>
      </c>
      <c r="C29" s="2"/>
      <c r="D29" s="2"/>
    </row>
    <row r="30" customFormat="false" ht="15" hidden="false" customHeight="false" outlineLevel="0" collapsed="false">
      <c r="A30" s="5" t="s">
        <v>106</v>
      </c>
      <c r="B30" s="13" t="n">
        <v>10</v>
      </c>
      <c r="C30" s="2"/>
      <c r="D30" s="2"/>
    </row>
    <row r="31" customFormat="false" ht="15" hidden="false" customHeight="false" outlineLevel="0" collapsed="false">
      <c r="A31" s="5" t="s">
        <v>107</v>
      </c>
      <c r="B31" s="13" t="n">
        <v>14</v>
      </c>
      <c r="C31" s="2"/>
      <c r="D31" s="2"/>
    </row>
    <row r="32" customFormat="false" ht="15" hidden="false" customHeight="false" outlineLevel="0" collapsed="false">
      <c r="A32" s="5" t="s">
        <v>108</v>
      </c>
      <c r="B32" s="13" t="n">
        <v>5</v>
      </c>
      <c r="C32" s="2"/>
      <c r="D32" s="2"/>
    </row>
    <row r="33" customFormat="false" ht="15" hidden="false" customHeight="false" outlineLevel="0" collapsed="false">
      <c r="A33" s="5" t="s">
        <v>109</v>
      </c>
      <c r="B33" s="13" t="n">
        <v>6</v>
      </c>
      <c r="C33" s="2"/>
      <c r="D33" s="2"/>
    </row>
    <row r="34" customFormat="false" ht="15" hidden="false" customHeight="false" outlineLevel="0" collapsed="false">
      <c r="A34" s="5" t="s">
        <v>110</v>
      </c>
      <c r="B34" s="13" t="n">
        <v>0.1</v>
      </c>
      <c r="C34" s="2"/>
      <c r="D34" s="2"/>
    </row>
    <row r="35" customFormat="false" ht="15" hidden="false" customHeight="false" outlineLevel="0" collapsed="false">
      <c r="A35" s="5" t="s">
        <v>111</v>
      </c>
      <c r="B35" s="13" t="n">
        <v>7</v>
      </c>
      <c r="C35" s="2"/>
      <c r="D35" s="2"/>
    </row>
    <row r="36" customFormat="false" ht="15" hidden="false" customHeight="false" outlineLevel="0" collapsed="false">
      <c r="A36" s="5" t="s">
        <v>112</v>
      </c>
      <c r="B36" s="13" t="n">
        <v>3</v>
      </c>
      <c r="C36" s="2"/>
      <c r="D36" s="2"/>
    </row>
    <row r="37" customFormat="false" ht="15" hidden="false" customHeight="false" outlineLevel="0" collapsed="false">
      <c r="A37" s="5" t="s">
        <v>113</v>
      </c>
      <c r="B37" s="13" t="n">
        <v>4</v>
      </c>
      <c r="C37" s="2"/>
      <c r="D37" s="2"/>
    </row>
    <row r="38" customFormat="false" ht="15" hidden="false" customHeight="false" outlineLevel="0" collapsed="false">
      <c r="A38" s="5" t="s">
        <v>114</v>
      </c>
      <c r="B38" s="13" t="n">
        <v>6</v>
      </c>
      <c r="C38" s="2"/>
      <c r="D38" s="2"/>
    </row>
    <row r="39" customFormat="false" ht="15" hidden="false" customHeight="false" outlineLevel="0" collapsed="false">
      <c r="A39" s="5" t="s">
        <v>115</v>
      </c>
      <c r="B39" s="19" t="n">
        <v>5</v>
      </c>
      <c r="C39" s="2"/>
      <c r="D39" s="2"/>
    </row>
    <row r="40" customFormat="false" ht="15" hidden="false" customHeight="false" outlineLevel="0" collapsed="false">
      <c r="A40" s="5" t="s">
        <v>116</v>
      </c>
      <c r="B40" s="12" t="n">
        <v>150</v>
      </c>
      <c r="C40" s="2"/>
      <c r="D40" s="2"/>
    </row>
    <row r="41" customFormat="false" ht="15" hidden="false" customHeight="false" outlineLevel="0" collapsed="false">
      <c r="A41" s="5" t="s">
        <v>117</v>
      </c>
      <c r="B41" s="20" t="n">
        <v>170</v>
      </c>
      <c r="C41" s="2"/>
      <c r="D41" s="2"/>
    </row>
    <row r="42" customFormat="false" ht="15" hidden="false" customHeight="false" outlineLevel="0" collapsed="false">
      <c r="A42" s="5" t="s">
        <v>118</v>
      </c>
      <c r="B42" s="12" t="n">
        <v>205</v>
      </c>
      <c r="C42" s="2"/>
      <c r="D42" s="2"/>
    </row>
    <row r="43" customFormat="false" ht="15" hidden="false" customHeight="false" outlineLevel="0" collapsed="false">
      <c r="A43" s="5" t="s">
        <v>119</v>
      </c>
      <c r="B43" s="12" t="n">
        <v>150</v>
      </c>
      <c r="C43" s="2"/>
      <c r="D43" s="2"/>
    </row>
    <row r="44" customFormat="false" ht="15" hidden="false" customHeight="false" outlineLevel="0" collapsed="false">
      <c r="A44" s="2"/>
      <c r="B44" s="2"/>
      <c r="C44" s="2"/>
      <c r="D44" s="2"/>
    </row>
    <row r="45" customFormat="false" ht="15" hidden="false" customHeight="false" outlineLevel="0" collapsed="false">
      <c r="A45" s="7" t="s">
        <v>120</v>
      </c>
      <c r="B45" s="21" t="n">
        <f aca="false">Annahmen!$B$12*(Annahmen!$B$21+Annahmen!$B$25+Annahmen!$B$29)+Annahmen!$B$13*(Annahmen!$B$22+Annahmen!$B$26+Annahmen!$B$29)+Annahmen!$B$14*(Annahmen!$B$23+Annahmen!$B$27+Annahmen!$B$29)+Annahmen!$B$15*(Annahmen!$B$24+Annahmen!$B$28+Annahmen!$B$29)</f>
        <v>34.5625</v>
      </c>
      <c r="C45" s="2"/>
      <c r="D45" s="2"/>
    </row>
    <row r="46" customFormat="false" ht="15" hidden="false" customHeight="false" outlineLevel="0" collapsed="false">
      <c r="A46" s="2"/>
      <c r="B46" s="2"/>
      <c r="C46" s="2"/>
      <c r="D46" s="2"/>
    </row>
    <row r="47" customFormat="false" ht="15" hidden="false" customHeight="false" outlineLevel="0" collapsed="false">
      <c r="A47" s="4" t="s">
        <v>121</v>
      </c>
      <c r="B47" s="4" t="s">
        <v>122</v>
      </c>
      <c r="C47" s="4" t="s">
        <v>123</v>
      </c>
      <c r="D47" s="4" t="s">
        <v>124</v>
      </c>
    </row>
    <row r="48" customFormat="false" ht="15" hidden="false" customHeight="false" outlineLevel="0" collapsed="false">
      <c r="A48" s="5" t="s">
        <v>125</v>
      </c>
      <c r="B48" s="20" t="n">
        <v>1</v>
      </c>
      <c r="C48" s="20" t="n">
        <v>2</v>
      </c>
      <c r="D48" s="20" t="n">
        <v>3</v>
      </c>
    </row>
    <row r="49" customFormat="false" ht="15" hidden="false" customHeight="false" outlineLevel="0" collapsed="false">
      <c r="A49" s="5" t="s">
        <v>126</v>
      </c>
      <c r="B49" s="20" t="n">
        <v>2</v>
      </c>
      <c r="C49" s="20" t="n">
        <v>3</v>
      </c>
      <c r="D49" s="2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5" min="2" style="0" width="10"/>
  </cols>
  <sheetData>
    <row r="1" customFormat="false" ht="17.35" hidden="false" customHeight="false" outlineLevel="0" collapsed="false">
      <c r="A1" s="1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" hidden="false" customHeight="false" outlineLevel="0" collapsed="false">
      <c r="A2" s="3" t="s">
        <v>128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5" hidden="false" customHeight="false" outlineLevel="0" collapsed="false">
      <c r="A4" s="4" t="s">
        <v>129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4" t="s">
        <v>35</v>
      </c>
      <c r="M4" s="4" t="s">
        <v>36</v>
      </c>
      <c r="N4" s="4" t="s">
        <v>37</v>
      </c>
      <c r="O4" s="4" t="s">
        <v>38</v>
      </c>
      <c r="P4" s="4" t="s">
        <v>39</v>
      </c>
      <c r="Q4" s="4" t="s">
        <v>40</v>
      </c>
      <c r="R4" s="4" t="s">
        <v>41</v>
      </c>
      <c r="S4" s="4" t="s">
        <v>42</v>
      </c>
      <c r="T4" s="4" t="s">
        <v>43</v>
      </c>
      <c r="U4" s="4" t="s">
        <v>44</v>
      </c>
      <c r="V4" s="4" t="s">
        <v>45</v>
      </c>
      <c r="W4" s="4" t="s">
        <v>46</v>
      </c>
      <c r="X4" s="4" t="s">
        <v>47</v>
      </c>
      <c r="Y4" s="4" t="s">
        <v>48</v>
      </c>
    </row>
    <row r="5" customFormat="false" ht="15" hidden="false" customHeight="false" outlineLevel="0" collapsed="false">
      <c r="A5" s="5" t="s">
        <v>130</v>
      </c>
      <c r="B5" s="22" t="n">
        <f aca="false">Annahmen!$B$48</f>
        <v>1</v>
      </c>
      <c r="C5" s="22" t="n">
        <f aca="false">Annahmen!$B$48</f>
        <v>1</v>
      </c>
      <c r="D5" s="22" t="n">
        <f aca="false">Annahmen!$B$49</f>
        <v>2</v>
      </c>
      <c r="E5" s="22" t="n">
        <f aca="false">Annahmen!$B$49</f>
        <v>2</v>
      </c>
      <c r="F5" s="22" t="n">
        <f aca="false">Annahmen!$B$49</f>
        <v>2</v>
      </c>
      <c r="G5" s="22" t="n">
        <f aca="false">Annahmen!$B$49</f>
        <v>2</v>
      </c>
      <c r="H5" s="22" t="n">
        <f aca="false">Annahmen!$B$49</f>
        <v>2</v>
      </c>
      <c r="I5" s="22" t="n">
        <f aca="false">Annahmen!$B$49</f>
        <v>2</v>
      </c>
      <c r="J5" s="22" t="n">
        <f aca="false">Annahmen!$B$49</f>
        <v>2</v>
      </c>
      <c r="K5" s="22" t="n">
        <f aca="false">Annahmen!$B$49</f>
        <v>2</v>
      </c>
      <c r="L5" s="22" t="n">
        <f aca="false">Annahmen!$B$49</f>
        <v>2</v>
      </c>
      <c r="M5" s="22" t="n">
        <f aca="false">Annahmen!$B$49</f>
        <v>2</v>
      </c>
      <c r="N5" s="22" t="n">
        <f aca="false">Annahmen!$B$49</f>
        <v>2</v>
      </c>
      <c r="O5" s="22" t="n">
        <f aca="false">Annahmen!$B$49</f>
        <v>2</v>
      </c>
      <c r="P5" s="22" t="n">
        <f aca="false">Annahmen!$B$49</f>
        <v>2</v>
      </c>
      <c r="Q5" s="22" t="n">
        <f aca="false">Annahmen!$B$49</f>
        <v>2</v>
      </c>
      <c r="R5" s="22" t="n">
        <f aca="false">Annahmen!$B$49</f>
        <v>2</v>
      </c>
      <c r="S5" s="22" t="n">
        <f aca="false">Annahmen!$B$49</f>
        <v>2</v>
      </c>
      <c r="T5" s="22" t="n">
        <f aca="false">Annahmen!$B$49</f>
        <v>2</v>
      </c>
      <c r="U5" s="22" t="n">
        <f aca="false">Annahmen!$B$49</f>
        <v>2</v>
      </c>
      <c r="V5" s="22" t="n">
        <f aca="false">Annahmen!$B$49</f>
        <v>2</v>
      </c>
      <c r="W5" s="22" t="n">
        <f aca="false">Annahmen!$B$49</f>
        <v>2</v>
      </c>
      <c r="X5" s="22" t="n">
        <f aca="false">Annahmen!$B$49</f>
        <v>2</v>
      </c>
      <c r="Y5" s="22" t="n">
        <f aca="false">Annahmen!$B$49</f>
        <v>2</v>
      </c>
    </row>
    <row r="6" customFormat="false" ht="15" hidden="false" customHeight="false" outlineLevel="0" collapsed="false">
      <c r="A6" s="5" t="s">
        <v>131</v>
      </c>
      <c r="B6" s="23" t="n">
        <f aca="false">IF(1&gt;=Annahmen!$B$16,1,0)</f>
        <v>0</v>
      </c>
      <c r="C6" s="23" t="n">
        <f aca="false">IF(2&gt;=Annahmen!$B$16,1,0)</f>
        <v>0</v>
      </c>
      <c r="D6" s="23" t="n">
        <f aca="false">IF(3&gt;=Annahmen!$B$16,1,0)</f>
        <v>0</v>
      </c>
      <c r="E6" s="23" t="n">
        <f aca="false">IF(4&gt;=Annahmen!$B$16,1,0)</f>
        <v>0</v>
      </c>
      <c r="F6" s="23" t="n">
        <f aca="false">IF(5&gt;=Annahmen!$B$16,1,0)</f>
        <v>0</v>
      </c>
      <c r="G6" s="23" t="n">
        <f aca="false">IF(6&gt;=Annahmen!$B$16,1,0)</f>
        <v>0</v>
      </c>
      <c r="H6" s="23" t="n">
        <f aca="false">IF(7&gt;=Annahmen!$B$16,1,0)</f>
        <v>0</v>
      </c>
      <c r="I6" s="23" t="n">
        <f aca="false">IF(8&gt;=Annahmen!$B$16,1,0)</f>
        <v>1</v>
      </c>
      <c r="J6" s="23" t="n">
        <f aca="false">IF(9&gt;=Annahmen!$B$16,1,0)</f>
        <v>1</v>
      </c>
      <c r="K6" s="23" t="n">
        <f aca="false">IF(10&gt;=Annahmen!$B$16,1,0)</f>
        <v>1</v>
      </c>
      <c r="L6" s="23" t="n">
        <f aca="false">IF(11&gt;=Annahmen!$B$16,1,0)</f>
        <v>1</v>
      </c>
      <c r="M6" s="23" t="n">
        <f aca="false">IF(12&gt;=Annahmen!$B$16,1,0)</f>
        <v>1</v>
      </c>
      <c r="N6" s="23" t="n">
        <f aca="false">IF(13&gt;=Annahmen!$B$16,1,0)</f>
        <v>1</v>
      </c>
      <c r="O6" s="23" t="n">
        <f aca="false">IF(14&gt;=Annahmen!$B$16,1,0)</f>
        <v>1</v>
      </c>
      <c r="P6" s="23" t="n">
        <f aca="false">IF(15&gt;=Annahmen!$B$16,1,0)</f>
        <v>1</v>
      </c>
      <c r="Q6" s="23" t="n">
        <f aca="false">IF(16&gt;=Annahmen!$B$16,1,0)</f>
        <v>1</v>
      </c>
      <c r="R6" s="23" t="n">
        <f aca="false">IF(17&gt;=Annahmen!$B$16,1,0)</f>
        <v>1</v>
      </c>
      <c r="S6" s="23" t="n">
        <f aca="false">IF(18&gt;=Annahmen!$B$16,1,0)</f>
        <v>1</v>
      </c>
      <c r="T6" s="23" t="n">
        <f aca="false">IF(19&gt;=Annahmen!$B$16,1,0)</f>
        <v>1</v>
      </c>
      <c r="U6" s="23" t="n">
        <f aca="false">IF(20&gt;=Annahmen!$B$16,1,0)</f>
        <v>1</v>
      </c>
      <c r="V6" s="23" t="n">
        <f aca="false">IF(21&gt;=Annahmen!$B$16,1,0)</f>
        <v>1</v>
      </c>
      <c r="W6" s="23" t="n">
        <f aca="false">IF(22&gt;=Annahmen!$B$16,1,0)</f>
        <v>1</v>
      </c>
      <c r="X6" s="23" t="n">
        <f aca="false">IF(23&gt;=Annahmen!$B$16,1,0)</f>
        <v>1</v>
      </c>
      <c r="Y6" s="23" t="n">
        <f aca="false">IF(24&gt;=Annahmen!$B$16,1,0)</f>
        <v>1</v>
      </c>
    </row>
    <row r="7" customFormat="false" ht="15" hidden="false" customHeight="false" outlineLevel="0" collapsed="false">
      <c r="A7" s="5" t="s">
        <v>132</v>
      </c>
      <c r="B7" s="23" t="n">
        <f aca="false">0</f>
        <v>0</v>
      </c>
      <c r="C7" s="23" t="n">
        <f aca="false">0</f>
        <v>0</v>
      </c>
      <c r="D7" s="23" t="n">
        <f aca="false">0</f>
        <v>0</v>
      </c>
      <c r="E7" s="23" t="n">
        <f aca="false">0</f>
        <v>0</v>
      </c>
      <c r="F7" s="23" t="n">
        <f aca="false">0</f>
        <v>0</v>
      </c>
      <c r="G7" s="23" t="n">
        <f aca="false">0</f>
        <v>0</v>
      </c>
      <c r="H7" s="23" t="n">
        <f aca="false">0</f>
        <v>0</v>
      </c>
      <c r="I7" s="23" t="n">
        <f aca="false">0</f>
        <v>0</v>
      </c>
      <c r="J7" s="23" t="n">
        <f aca="false">0</f>
        <v>0</v>
      </c>
      <c r="K7" s="23" t="n">
        <f aca="false">0</f>
        <v>0</v>
      </c>
      <c r="L7" s="23" t="n">
        <f aca="false">0</f>
        <v>0</v>
      </c>
      <c r="M7" s="23" t="n">
        <f aca="false">0</f>
        <v>0</v>
      </c>
      <c r="N7" s="23" t="n">
        <f aca="false">0</f>
        <v>0</v>
      </c>
      <c r="O7" s="23" t="n">
        <f aca="false">0</f>
        <v>0</v>
      </c>
      <c r="P7" s="23" t="n">
        <f aca="false">0</f>
        <v>0</v>
      </c>
      <c r="Q7" s="23" t="n">
        <f aca="false">0</f>
        <v>0</v>
      </c>
      <c r="R7" s="23" t="n">
        <f aca="false">0</f>
        <v>0</v>
      </c>
      <c r="S7" s="23" t="n">
        <f aca="false">0</f>
        <v>0</v>
      </c>
      <c r="T7" s="23" t="n">
        <f aca="false">0</f>
        <v>0</v>
      </c>
      <c r="U7" s="23" t="n">
        <f aca="false">0</f>
        <v>0</v>
      </c>
      <c r="V7" s="23" t="n">
        <f aca="false">0</f>
        <v>0</v>
      </c>
      <c r="W7" s="23" t="n">
        <f aca="false">0</f>
        <v>0</v>
      </c>
      <c r="X7" s="23" t="n">
        <f aca="false">0</f>
        <v>0</v>
      </c>
      <c r="Y7" s="23" t="n">
        <f aca="false">0</f>
        <v>0</v>
      </c>
    </row>
    <row r="8" customFormat="false" ht="15" hidden="false" customHeight="false" outlineLevel="0" collapsed="false">
      <c r="A8" s="5" t="s">
        <v>133</v>
      </c>
      <c r="B8" s="22" t="n">
        <f aca="false">Annahmen!$B$12/(1-Annahmen!$B$15*(1-B6))*((Annahmen!$B$21+B7*(Annahmen!$B$30-Annahmen!$B$21))+(Annahmen!$B$25+B7*(Annahmen!$B$34-Annahmen!$B$25))+(Annahmen!$B$29+B7*(Annahmen!$B$38-Annahmen!$B$29)))+Annahmen!$B$13/(1-Annahmen!$B$15*(1-B6))*((Annahmen!$B$22+B7*(Annahmen!$B$31-Annahmen!$B$22))+(Annahmen!$B$26+B7*(Annahmen!$B$35-Annahmen!$B$26))+(Annahmen!$B$29+B7*(Annahmen!$B$38-Annahmen!$B$29)))+Annahmen!$B$14/(1-Annahmen!$B$15*(1-B6))*((Annahmen!$B$23+B7*(Annahmen!$B$32-Annahmen!$B$23))+(Annahmen!$B$27+B7*(Annahmen!$B$36-Annahmen!$B$27))+(Annahmen!$B$29+B7*(Annahmen!$B$38-Annahmen!$B$29)))+Annahmen!$B$15*B6*((Annahmen!$B$24+B7*(Annahmen!$B$33-Annahmen!$B$24))+(Annahmen!$B$28+B7*(Annahmen!$B$37-Annahmen!$B$28))+(Annahmen!$B$29+B7*(Annahmen!$B$38-Annahmen!$B$29)))</f>
        <v>37.0833333333333</v>
      </c>
      <c r="C8" s="22" t="n">
        <f aca="false">Annahmen!$B$12/(1-Annahmen!$B$15*(1-C6))*((Annahmen!$B$21+C7*(Annahmen!$B$30-Annahmen!$B$21))+(Annahmen!$B$25+C7*(Annahmen!$B$34-Annahmen!$B$25))+(Annahmen!$B$29+C7*(Annahmen!$B$38-Annahmen!$B$29)))+Annahmen!$B$13/(1-Annahmen!$B$15*(1-C6))*((Annahmen!$B$22+C7*(Annahmen!$B$31-Annahmen!$B$22))+(Annahmen!$B$26+C7*(Annahmen!$B$35-Annahmen!$B$26))+(Annahmen!$B$29+C7*(Annahmen!$B$38-Annahmen!$B$29)))+Annahmen!$B$14/(1-Annahmen!$B$15*(1-C6))*((Annahmen!$B$23+C7*(Annahmen!$B$32-Annahmen!$B$23))+(Annahmen!$B$27+C7*(Annahmen!$B$36-Annahmen!$B$27))+(Annahmen!$B$29+C7*(Annahmen!$B$38-Annahmen!$B$29)))+Annahmen!$B$15*C6*((Annahmen!$B$24+C7*(Annahmen!$B$33-Annahmen!$B$24))+(Annahmen!$B$28+C7*(Annahmen!$B$37-Annahmen!$B$28))+(Annahmen!$B$29+C7*(Annahmen!$B$38-Annahmen!$B$29)))</f>
        <v>37.0833333333333</v>
      </c>
      <c r="D8" s="22" t="n">
        <f aca="false">Annahmen!$B$12/(1-Annahmen!$B$15*(1-D6))*((Annahmen!$B$21+D7*(Annahmen!$B$30-Annahmen!$B$21))+(Annahmen!$B$25+D7*(Annahmen!$B$34-Annahmen!$B$25))+(Annahmen!$B$29+D7*(Annahmen!$B$38-Annahmen!$B$29)))+Annahmen!$B$13/(1-Annahmen!$B$15*(1-D6))*((Annahmen!$B$22+D7*(Annahmen!$B$31-Annahmen!$B$22))+(Annahmen!$B$26+D7*(Annahmen!$B$35-Annahmen!$B$26))+(Annahmen!$B$29+D7*(Annahmen!$B$38-Annahmen!$B$29)))+Annahmen!$B$14/(1-Annahmen!$B$15*(1-D6))*((Annahmen!$B$23+D7*(Annahmen!$B$32-Annahmen!$B$23))+(Annahmen!$B$27+D7*(Annahmen!$B$36-Annahmen!$B$27))+(Annahmen!$B$29+D7*(Annahmen!$B$38-Annahmen!$B$29)))+Annahmen!$B$15*D6*((Annahmen!$B$24+D7*(Annahmen!$B$33-Annahmen!$B$24))+(Annahmen!$B$28+D7*(Annahmen!$B$37-Annahmen!$B$28))+(Annahmen!$B$29+D7*(Annahmen!$B$38-Annahmen!$B$29)))</f>
        <v>37.0833333333333</v>
      </c>
      <c r="E8" s="22" t="n">
        <f aca="false">Annahmen!$B$12/(1-Annahmen!$B$15*(1-E6))*((Annahmen!$B$21+E7*(Annahmen!$B$30-Annahmen!$B$21))+(Annahmen!$B$25+E7*(Annahmen!$B$34-Annahmen!$B$25))+(Annahmen!$B$29+E7*(Annahmen!$B$38-Annahmen!$B$29)))+Annahmen!$B$13/(1-Annahmen!$B$15*(1-E6))*((Annahmen!$B$22+E7*(Annahmen!$B$31-Annahmen!$B$22))+(Annahmen!$B$26+E7*(Annahmen!$B$35-Annahmen!$B$26))+(Annahmen!$B$29+E7*(Annahmen!$B$38-Annahmen!$B$29)))+Annahmen!$B$14/(1-Annahmen!$B$15*(1-E6))*((Annahmen!$B$23+E7*(Annahmen!$B$32-Annahmen!$B$23))+(Annahmen!$B$27+E7*(Annahmen!$B$36-Annahmen!$B$27))+(Annahmen!$B$29+E7*(Annahmen!$B$38-Annahmen!$B$29)))+Annahmen!$B$15*E6*((Annahmen!$B$24+E7*(Annahmen!$B$33-Annahmen!$B$24))+(Annahmen!$B$28+E7*(Annahmen!$B$37-Annahmen!$B$28))+(Annahmen!$B$29+E7*(Annahmen!$B$38-Annahmen!$B$29)))</f>
        <v>37.0833333333333</v>
      </c>
      <c r="F8" s="22" t="n">
        <f aca="false">Annahmen!$B$12/(1-Annahmen!$B$15*(1-F6))*((Annahmen!$B$21+F7*(Annahmen!$B$30-Annahmen!$B$21))+(Annahmen!$B$25+F7*(Annahmen!$B$34-Annahmen!$B$25))+(Annahmen!$B$29+F7*(Annahmen!$B$38-Annahmen!$B$29)))+Annahmen!$B$13/(1-Annahmen!$B$15*(1-F6))*((Annahmen!$B$22+F7*(Annahmen!$B$31-Annahmen!$B$22))+(Annahmen!$B$26+F7*(Annahmen!$B$35-Annahmen!$B$26))+(Annahmen!$B$29+F7*(Annahmen!$B$38-Annahmen!$B$29)))+Annahmen!$B$14/(1-Annahmen!$B$15*(1-F6))*((Annahmen!$B$23+F7*(Annahmen!$B$32-Annahmen!$B$23))+(Annahmen!$B$27+F7*(Annahmen!$B$36-Annahmen!$B$27))+(Annahmen!$B$29+F7*(Annahmen!$B$38-Annahmen!$B$29)))+Annahmen!$B$15*F6*((Annahmen!$B$24+F7*(Annahmen!$B$33-Annahmen!$B$24))+(Annahmen!$B$28+F7*(Annahmen!$B$37-Annahmen!$B$28))+(Annahmen!$B$29+F7*(Annahmen!$B$38-Annahmen!$B$29)))</f>
        <v>37.0833333333333</v>
      </c>
      <c r="G8" s="22" t="n">
        <f aca="false">Annahmen!$B$12/(1-Annahmen!$B$15*(1-G6))*((Annahmen!$B$21+G7*(Annahmen!$B$30-Annahmen!$B$21))+(Annahmen!$B$25+G7*(Annahmen!$B$34-Annahmen!$B$25))+(Annahmen!$B$29+G7*(Annahmen!$B$38-Annahmen!$B$29)))+Annahmen!$B$13/(1-Annahmen!$B$15*(1-G6))*((Annahmen!$B$22+G7*(Annahmen!$B$31-Annahmen!$B$22))+(Annahmen!$B$26+G7*(Annahmen!$B$35-Annahmen!$B$26))+(Annahmen!$B$29+G7*(Annahmen!$B$38-Annahmen!$B$29)))+Annahmen!$B$14/(1-Annahmen!$B$15*(1-G6))*((Annahmen!$B$23+G7*(Annahmen!$B$32-Annahmen!$B$23))+(Annahmen!$B$27+G7*(Annahmen!$B$36-Annahmen!$B$27))+(Annahmen!$B$29+G7*(Annahmen!$B$38-Annahmen!$B$29)))+Annahmen!$B$15*G6*((Annahmen!$B$24+G7*(Annahmen!$B$33-Annahmen!$B$24))+(Annahmen!$B$28+G7*(Annahmen!$B$37-Annahmen!$B$28))+(Annahmen!$B$29+G7*(Annahmen!$B$38-Annahmen!$B$29)))</f>
        <v>37.0833333333333</v>
      </c>
      <c r="H8" s="22" t="n">
        <f aca="false">Annahmen!$B$12/(1-Annahmen!$B$15*(1-H6))*((Annahmen!$B$21+H7*(Annahmen!$B$30-Annahmen!$B$21))+(Annahmen!$B$25+H7*(Annahmen!$B$34-Annahmen!$B$25))+(Annahmen!$B$29+H7*(Annahmen!$B$38-Annahmen!$B$29)))+Annahmen!$B$13/(1-Annahmen!$B$15*(1-H6))*((Annahmen!$B$22+H7*(Annahmen!$B$31-Annahmen!$B$22))+(Annahmen!$B$26+H7*(Annahmen!$B$35-Annahmen!$B$26))+(Annahmen!$B$29+H7*(Annahmen!$B$38-Annahmen!$B$29)))+Annahmen!$B$14/(1-Annahmen!$B$15*(1-H6))*((Annahmen!$B$23+H7*(Annahmen!$B$32-Annahmen!$B$23))+(Annahmen!$B$27+H7*(Annahmen!$B$36-Annahmen!$B$27))+(Annahmen!$B$29+H7*(Annahmen!$B$38-Annahmen!$B$29)))+Annahmen!$B$15*H6*((Annahmen!$B$24+H7*(Annahmen!$B$33-Annahmen!$B$24))+(Annahmen!$B$28+H7*(Annahmen!$B$37-Annahmen!$B$28))+(Annahmen!$B$29+H7*(Annahmen!$B$38-Annahmen!$B$29)))</f>
        <v>37.0833333333333</v>
      </c>
      <c r="I8" s="22" t="n">
        <f aca="false">Annahmen!$B$12/(1-Annahmen!$B$15*(1-I6))*((Annahmen!$B$21+I7*(Annahmen!$B$30-Annahmen!$B$21))+(Annahmen!$B$25+I7*(Annahmen!$B$34-Annahmen!$B$25))+(Annahmen!$B$29+I7*(Annahmen!$B$38-Annahmen!$B$29)))+Annahmen!$B$13/(1-Annahmen!$B$15*(1-I6))*((Annahmen!$B$22+I7*(Annahmen!$B$31-Annahmen!$B$22))+(Annahmen!$B$26+I7*(Annahmen!$B$35-Annahmen!$B$26))+(Annahmen!$B$29+I7*(Annahmen!$B$38-Annahmen!$B$29)))+Annahmen!$B$14/(1-Annahmen!$B$15*(1-I6))*((Annahmen!$B$23+I7*(Annahmen!$B$32-Annahmen!$B$23))+(Annahmen!$B$27+I7*(Annahmen!$B$36-Annahmen!$B$27))+(Annahmen!$B$29+I7*(Annahmen!$B$38-Annahmen!$B$29)))+Annahmen!$B$15*I6*((Annahmen!$B$24+I7*(Annahmen!$B$33-Annahmen!$B$24))+(Annahmen!$B$28+I7*(Annahmen!$B$37-Annahmen!$B$28))+(Annahmen!$B$29+I7*(Annahmen!$B$38-Annahmen!$B$29)))</f>
        <v>34.5625</v>
      </c>
      <c r="J8" s="22" t="n">
        <f aca="false">Annahmen!$B$12/(1-Annahmen!$B$15*(1-J6))*((Annahmen!$B$21+J7*(Annahmen!$B$30-Annahmen!$B$21))+(Annahmen!$B$25+J7*(Annahmen!$B$34-Annahmen!$B$25))+(Annahmen!$B$29+J7*(Annahmen!$B$38-Annahmen!$B$29)))+Annahmen!$B$13/(1-Annahmen!$B$15*(1-J6))*((Annahmen!$B$22+J7*(Annahmen!$B$31-Annahmen!$B$22))+(Annahmen!$B$26+J7*(Annahmen!$B$35-Annahmen!$B$26))+(Annahmen!$B$29+J7*(Annahmen!$B$38-Annahmen!$B$29)))+Annahmen!$B$14/(1-Annahmen!$B$15*(1-J6))*((Annahmen!$B$23+J7*(Annahmen!$B$32-Annahmen!$B$23))+(Annahmen!$B$27+J7*(Annahmen!$B$36-Annahmen!$B$27))+(Annahmen!$B$29+J7*(Annahmen!$B$38-Annahmen!$B$29)))+Annahmen!$B$15*J6*((Annahmen!$B$24+J7*(Annahmen!$B$33-Annahmen!$B$24))+(Annahmen!$B$28+J7*(Annahmen!$B$37-Annahmen!$B$28))+(Annahmen!$B$29+J7*(Annahmen!$B$38-Annahmen!$B$29)))</f>
        <v>34.5625</v>
      </c>
      <c r="K8" s="22" t="n">
        <f aca="false">Annahmen!$B$12/(1-Annahmen!$B$15*(1-K6))*((Annahmen!$B$21+K7*(Annahmen!$B$30-Annahmen!$B$21))+(Annahmen!$B$25+K7*(Annahmen!$B$34-Annahmen!$B$25))+(Annahmen!$B$29+K7*(Annahmen!$B$38-Annahmen!$B$29)))+Annahmen!$B$13/(1-Annahmen!$B$15*(1-K6))*((Annahmen!$B$22+K7*(Annahmen!$B$31-Annahmen!$B$22))+(Annahmen!$B$26+K7*(Annahmen!$B$35-Annahmen!$B$26))+(Annahmen!$B$29+K7*(Annahmen!$B$38-Annahmen!$B$29)))+Annahmen!$B$14/(1-Annahmen!$B$15*(1-K6))*((Annahmen!$B$23+K7*(Annahmen!$B$32-Annahmen!$B$23))+(Annahmen!$B$27+K7*(Annahmen!$B$36-Annahmen!$B$27))+(Annahmen!$B$29+K7*(Annahmen!$B$38-Annahmen!$B$29)))+Annahmen!$B$15*K6*((Annahmen!$B$24+K7*(Annahmen!$B$33-Annahmen!$B$24))+(Annahmen!$B$28+K7*(Annahmen!$B$37-Annahmen!$B$28))+(Annahmen!$B$29+K7*(Annahmen!$B$38-Annahmen!$B$29)))</f>
        <v>34.5625</v>
      </c>
      <c r="L8" s="22" t="n">
        <f aca="false">Annahmen!$B$12/(1-Annahmen!$B$15*(1-L6))*((Annahmen!$B$21+L7*(Annahmen!$B$30-Annahmen!$B$21))+(Annahmen!$B$25+L7*(Annahmen!$B$34-Annahmen!$B$25))+(Annahmen!$B$29+L7*(Annahmen!$B$38-Annahmen!$B$29)))+Annahmen!$B$13/(1-Annahmen!$B$15*(1-L6))*((Annahmen!$B$22+L7*(Annahmen!$B$31-Annahmen!$B$22))+(Annahmen!$B$26+L7*(Annahmen!$B$35-Annahmen!$B$26))+(Annahmen!$B$29+L7*(Annahmen!$B$38-Annahmen!$B$29)))+Annahmen!$B$14/(1-Annahmen!$B$15*(1-L6))*((Annahmen!$B$23+L7*(Annahmen!$B$32-Annahmen!$B$23))+(Annahmen!$B$27+L7*(Annahmen!$B$36-Annahmen!$B$27))+(Annahmen!$B$29+L7*(Annahmen!$B$38-Annahmen!$B$29)))+Annahmen!$B$15*L6*((Annahmen!$B$24+L7*(Annahmen!$B$33-Annahmen!$B$24))+(Annahmen!$B$28+L7*(Annahmen!$B$37-Annahmen!$B$28))+(Annahmen!$B$29+L7*(Annahmen!$B$38-Annahmen!$B$29)))</f>
        <v>34.5625</v>
      </c>
      <c r="M8" s="22" t="n">
        <f aca="false">Annahmen!$B$12/(1-Annahmen!$B$15*(1-M6))*((Annahmen!$B$21+M7*(Annahmen!$B$30-Annahmen!$B$21))+(Annahmen!$B$25+M7*(Annahmen!$B$34-Annahmen!$B$25))+(Annahmen!$B$29+M7*(Annahmen!$B$38-Annahmen!$B$29)))+Annahmen!$B$13/(1-Annahmen!$B$15*(1-M6))*((Annahmen!$B$22+M7*(Annahmen!$B$31-Annahmen!$B$22))+(Annahmen!$B$26+M7*(Annahmen!$B$35-Annahmen!$B$26))+(Annahmen!$B$29+M7*(Annahmen!$B$38-Annahmen!$B$29)))+Annahmen!$B$14/(1-Annahmen!$B$15*(1-M6))*((Annahmen!$B$23+M7*(Annahmen!$B$32-Annahmen!$B$23))+(Annahmen!$B$27+M7*(Annahmen!$B$36-Annahmen!$B$27))+(Annahmen!$B$29+M7*(Annahmen!$B$38-Annahmen!$B$29)))+Annahmen!$B$15*M6*((Annahmen!$B$24+M7*(Annahmen!$B$33-Annahmen!$B$24))+(Annahmen!$B$28+M7*(Annahmen!$B$37-Annahmen!$B$28))+(Annahmen!$B$29+M7*(Annahmen!$B$38-Annahmen!$B$29)))</f>
        <v>34.5625</v>
      </c>
      <c r="N8" s="22" t="n">
        <f aca="false">Annahmen!$B$12/(1-Annahmen!$B$15*(1-N6))*((Annahmen!$B$21+N7*(Annahmen!$B$30-Annahmen!$B$21))+(Annahmen!$B$25+N7*(Annahmen!$B$34-Annahmen!$B$25))+(Annahmen!$B$29+N7*(Annahmen!$B$38-Annahmen!$B$29)))+Annahmen!$B$13/(1-Annahmen!$B$15*(1-N6))*((Annahmen!$B$22+N7*(Annahmen!$B$31-Annahmen!$B$22))+(Annahmen!$B$26+N7*(Annahmen!$B$35-Annahmen!$B$26))+(Annahmen!$B$29+N7*(Annahmen!$B$38-Annahmen!$B$29)))+Annahmen!$B$14/(1-Annahmen!$B$15*(1-N6))*((Annahmen!$B$23+N7*(Annahmen!$B$32-Annahmen!$B$23))+(Annahmen!$B$27+N7*(Annahmen!$B$36-Annahmen!$B$27))+(Annahmen!$B$29+N7*(Annahmen!$B$38-Annahmen!$B$29)))+Annahmen!$B$15*N6*((Annahmen!$B$24+N7*(Annahmen!$B$33-Annahmen!$B$24))+(Annahmen!$B$28+N7*(Annahmen!$B$37-Annahmen!$B$28))+(Annahmen!$B$29+N7*(Annahmen!$B$38-Annahmen!$B$29)))</f>
        <v>34.5625</v>
      </c>
      <c r="O8" s="22" t="n">
        <f aca="false">Annahmen!$B$12/(1-Annahmen!$B$15*(1-O6))*((Annahmen!$B$21+O7*(Annahmen!$B$30-Annahmen!$B$21))+(Annahmen!$B$25+O7*(Annahmen!$B$34-Annahmen!$B$25))+(Annahmen!$B$29+O7*(Annahmen!$B$38-Annahmen!$B$29)))+Annahmen!$B$13/(1-Annahmen!$B$15*(1-O6))*((Annahmen!$B$22+O7*(Annahmen!$B$31-Annahmen!$B$22))+(Annahmen!$B$26+O7*(Annahmen!$B$35-Annahmen!$B$26))+(Annahmen!$B$29+O7*(Annahmen!$B$38-Annahmen!$B$29)))+Annahmen!$B$14/(1-Annahmen!$B$15*(1-O6))*((Annahmen!$B$23+O7*(Annahmen!$B$32-Annahmen!$B$23))+(Annahmen!$B$27+O7*(Annahmen!$B$36-Annahmen!$B$27))+(Annahmen!$B$29+O7*(Annahmen!$B$38-Annahmen!$B$29)))+Annahmen!$B$15*O6*((Annahmen!$B$24+O7*(Annahmen!$B$33-Annahmen!$B$24))+(Annahmen!$B$28+O7*(Annahmen!$B$37-Annahmen!$B$28))+(Annahmen!$B$29+O7*(Annahmen!$B$38-Annahmen!$B$29)))</f>
        <v>34.5625</v>
      </c>
      <c r="P8" s="22" t="n">
        <f aca="false">Annahmen!$B$12/(1-Annahmen!$B$15*(1-P6))*((Annahmen!$B$21+P7*(Annahmen!$B$30-Annahmen!$B$21))+(Annahmen!$B$25+P7*(Annahmen!$B$34-Annahmen!$B$25))+(Annahmen!$B$29+P7*(Annahmen!$B$38-Annahmen!$B$29)))+Annahmen!$B$13/(1-Annahmen!$B$15*(1-P6))*((Annahmen!$B$22+P7*(Annahmen!$B$31-Annahmen!$B$22))+(Annahmen!$B$26+P7*(Annahmen!$B$35-Annahmen!$B$26))+(Annahmen!$B$29+P7*(Annahmen!$B$38-Annahmen!$B$29)))+Annahmen!$B$14/(1-Annahmen!$B$15*(1-P6))*((Annahmen!$B$23+P7*(Annahmen!$B$32-Annahmen!$B$23))+(Annahmen!$B$27+P7*(Annahmen!$B$36-Annahmen!$B$27))+(Annahmen!$B$29+P7*(Annahmen!$B$38-Annahmen!$B$29)))+Annahmen!$B$15*P6*((Annahmen!$B$24+P7*(Annahmen!$B$33-Annahmen!$B$24))+(Annahmen!$B$28+P7*(Annahmen!$B$37-Annahmen!$B$28))+(Annahmen!$B$29+P7*(Annahmen!$B$38-Annahmen!$B$29)))</f>
        <v>34.5625</v>
      </c>
      <c r="Q8" s="22" t="n">
        <f aca="false">Annahmen!$B$12/(1-Annahmen!$B$15*(1-Q6))*((Annahmen!$B$21+Q7*(Annahmen!$B$30-Annahmen!$B$21))+(Annahmen!$B$25+Q7*(Annahmen!$B$34-Annahmen!$B$25))+(Annahmen!$B$29+Q7*(Annahmen!$B$38-Annahmen!$B$29)))+Annahmen!$B$13/(1-Annahmen!$B$15*(1-Q6))*((Annahmen!$B$22+Q7*(Annahmen!$B$31-Annahmen!$B$22))+(Annahmen!$B$26+Q7*(Annahmen!$B$35-Annahmen!$B$26))+(Annahmen!$B$29+Q7*(Annahmen!$B$38-Annahmen!$B$29)))+Annahmen!$B$14/(1-Annahmen!$B$15*(1-Q6))*((Annahmen!$B$23+Q7*(Annahmen!$B$32-Annahmen!$B$23))+(Annahmen!$B$27+Q7*(Annahmen!$B$36-Annahmen!$B$27))+(Annahmen!$B$29+Q7*(Annahmen!$B$38-Annahmen!$B$29)))+Annahmen!$B$15*Q6*((Annahmen!$B$24+Q7*(Annahmen!$B$33-Annahmen!$B$24))+(Annahmen!$B$28+Q7*(Annahmen!$B$37-Annahmen!$B$28))+(Annahmen!$B$29+Q7*(Annahmen!$B$38-Annahmen!$B$29)))</f>
        <v>34.5625</v>
      </c>
      <c r="R8" s="22" t="n">
        <f aca="false">Annahmen!$B$12/(1-Annahmen!$B$15*(1-R6))*((Annahmen!$B$21+R7*(Annahmen!$B$30-Annahmen!$B$21))+(Annahmen!$B$25+R7*(Annahmen!$B$34-Annahmen!$B$25))+(Annahmen!$B$29+R7*(Annahmen!$B$38-Annahmen!$B$29)))+Annahmen!$B$13/(1-Annahmen!$B$15*(1-R6))*((Annahmen!$B$22+R7*(Annahmen!$B$31-Annahmen!$B$22))+(Annahmen!$B$26+R7*(Annahmen!$B$35-Annahmen!$B$26))+(Annahmen!$B$29+R7*(Annahmen!$B$38-Annahmen!$B$29)))+Annahmen!$B$14/(1-Annahmen!$B$15*(1-R6))*((Annahmen!$B$23+R7*(Annahmen!$B$32-Annahmen!$B$23))+(Annahmen!$B$27+R7*(Annahmen!$B$36-Annahmen!$B$27))+(Annahmen!$B$29+R7*(Annahmen!$B$38-Annahmen!$B$29)))+Annahmen!$B$15*R6*((Annahmen!$B$24+R7*(Annahmen!$B$33-Annahmen!$B$24))+(Annahmen!$B$28+R7*(Annahmen!$B$37-Annahmen!$B$28))+(Annahmen!$B$29+R7*(Annahmen!$B$38-Annahmen!$B$29)))</f>
        <v>34.5625</v>
      </c>
      <c r="S8" s="22" t="n">
        <f aca="false">Annahmen!$B$12/(1-Annahmen!$B$15*(1-S6))*((Annahmen!$B$21+S7*(Annahmen!$B$30-Annahmen!$B$21))+(Annahmen!$B$25+S7*(Annahmen!$B$34-Annahmen!$B$25))+(Annahmen!$B$29+S7*(Annahmen!$B$38-Annahmen!$B$29)))+Annahmen!$B$13/(1-Annahmen!$B$15*(1-S6))*((Annahmen!$B$22+S7*(Annahmen!$B$31-Annahmen!$B$22))+(Annahmen!$B$26+S7*(Annahmen!$B$35-Annahmen!$B$26))+(Annahmen!$B$29+S7*(Annahmen!$B$38-Annahmen!$B$29)))+Annahmen!$B$14/(1-Annahmen!$B$15*(1-S6))*((Annahmen!$B$23+S7*(Annahmen!$B$32-Annahmen!$B$23))+(Annahmen!$B$27+S7*(Annahmen!$B$36-Annahmen!$B$27))+(Annahmen!$B$29+S7*(Annahmen!$B$38-Annahmen!$B$29)))+Annahmen!$B$15*S6*((Annahmen!$B$24+S7*(Annahmen!$B$33-Annahmen!$B$24))+(Annahmen!$B$28+S7*(Annahmen!$B$37-Annahmen!$B$28))+(Annahmen!$B$29+S7*(Annahmen!$B$38-Annahmen!$B$29)))</f>
        <v>34.5625</v>
      </c>
      <c r="T8" s="22" t="n">
        <f aca="false">Annahmen!$B$12/(1-Annahmen!$B$15*(1-T6))*((Annahmen!$B$21+T7*(Annahmen!$B$30-Annahmen!$B$21))+(Annahmen!$B$25+T7*(Annahmen!$B$34-Annahmen!$B$25))+(Annahmen!$B$29+T7*(Annahmen!$B$38-Annahmen!$B$29)))+Annahmen!$B$13/(1-Annahmen!$B$15*(1-T6))*((Annahmen!$B$22+T7*(Annahmen!$B$31-Annahmen!$B$22))+(Annahmen!$B$26+T7*(Annahmen!$B$35-Annahmen!$B$26))+(Annahmen!$B$29+T7*(Annahmen!$B$38-Annahmen!$B$29)))+Annahmen!$B$14/(1-Annahmen!$B$15*(1-T6))*((Annahmen!$B$23+T7*(Annahmen!$B$32-Annahmen!$B$23))+(Annahmen!$B$27+T7*(Annahmen!$B$36-Annahmen!$B$27))+(Annahmen!$B$29+T7*(Annahmen!$B$38-Annahmen!$B$29)))+Annahmen!$B$15*T6*((Annahmen!$B$24+T7*(Annahmen!$B$33-Annahmen!$B$24))+(Annahmen!$B$28+T7*(Annahmen!$B$37-Annahmen!$B$28))+(Annahmen!$B$29+T7*(Annahmen!$B$38-Annahmen!$B$29)))</f>
        <v>34.5625</v>
      </c>
      <c r="U8" s="22" t="n">
        <f aca="false">Annahmen!$B$12/(1-Annahmen!$B$15*(1-U6))*((Annahmen!$B$21+U7*(Annahmen!$B$30-Annahmen!$B$21))+(Annahmen!$B$25+U7*(Annahmen!$B$34-Annahmen!$B$25))+(Annahmen!$B$29+U7*(Annahmen!$B$38-Annahmen!$B$29)))+Annahmen!$B$13/(1-Annahmen!$B$15*(1-U6))*((Annahmen!$B$22+U7*(Annahmen!$B$31-Annahmen!$B$22))+(Annahmen!$B$26+U7*(Annahmen!$B$35-Annahmen!$B$26))+(Annahmen!$B$29+U7*(Annahmen!$B$38-Annahmen!$B$29)))+Annahmen!$B$14/(1-Annahmen!$B$15*(1-U6))*((Annahmen!$B$23+U7*(Annahmen!$B$32-Annahmen!$B$23))+(Annahmen!$B$27+U7*(Annahmen!$B$36-Annahmen!$B$27))+(Annahmen!$B$29+U7*(Annahmen!$B$38-Annahmen!$B$29)))+Annahmen!$B$15*U6*((Annahmen!$B$24+U7*(Annahmen!$B$33-Annahmen!$B$24))+(Annahmen!$B$28+U7*(Annahmen!$B$37-Annahmen!$B$28))+(Annahmen!$B$29+U7*(Annahmen!$B$38-Annahmen!$B$29)))</f>
        <v>34.5625</v>
      </c>
      <c r="V8" s="22" t="n">
        <f aca="false">Annahmen!$B$12/(1-Annahmen!$B$15*(1-V6))*((Annahmen!$B$21+V7*(Annahmen!$B$30-Annahmen!$B$21))+(Annahmen!$B$25+V7*(Annahmen!$B$34-Annahmen!$B$25))+(Annahmen!$B$29+V7*(Annahmen!$B$38-Annahmen!$B$29)))+Annahmen!$B$13/(1-Annahmen!$B$15*(1-V6))*((Annahmen!$B$22+V7*(Annahmen!$B$31-Annahmen!$B$22))+(Annahmen!$B$26+V7*(Annahmen!$B$35-Annahmen!$B$26))+(Annahmen!$B$29+V7*(Annahmen!$B$38-Annahmen!$B$29)))+Annahmen!$B$14/(1-Annahmen!$B$15*(1-V6))*((Annahmen!$B$23+V7*(Annahmen!$B$32-Annahmen!$B$23))+(Annahmen!$B$27+V7*(Annahmen!$B$36-Annahmen!$B$27))+(Annahmen!$B$29+V7*(Annahmen!$B$38-Annahmen!$B$29)))+Annahmen!$B$15*V6*((Annahmen!$B$24+V7*(Annahmen!$B$33-Annahmen!$B$24))+(Annahmen!$B$28+V7*(Annahmen!$B$37-Annahmen!$B$28))+(Annahmen!$B$29+V7*(Annahmen!$B$38-Annahmen!$B$29)))</f>
        <v>34.5625</v>
      </c>
      <c r="W8" s="22" t="n">
        <f aca="false">Annahmen!$B$12/(1-Annahmen!$B$15*(1-W6))*((Annahmen!$B$21+W7*(Annahmen!$B$30-Annahmen!$B$21))+(Annahmen!$B$25+W7*(Annahmen!$B$34-Annahmen!$B$25))+(Annahmen!$B$29+W7*(Annahmen!$B$38-Annahmen!$B$29)))+Annahmen!$B$13/(1-Annahmen!$B$15*(1-W6))*((Annahmen!$B$22+W7*(Annahmen!$B$31-Annahmen!$B$22))+(Annahmen!$B$26+W7*(Annahmen!$B$35-Annahmen!$B$26))+(Annahmen!$B$29+W7*(Annahmen!$B$38-Annahmen!$B$29)))+Annahmen!$B$14/(1-Annahmen!$B$15*(1-W6))*((Annahmen!$B$23+W7*(Annahmen!$B$32-Annahmen!$B$23))+(Annahmen!$B$27+W7*(Annahmen!$B$36-Annahmen!$B$27))+(Annahmen!$B$29+W7*(Annahmen!$B$38-Annahmen!$B$29)))+Annahmen!$B$15*W6*((Annahmen!$B$24+W7*(Annahmen!$B$33-Annahmen!$B$24))+(Annahmen!$B$28+W7*(Annahmen!$B$37-Annahmen!$B$28))+(Annahmen!$B$29+W7*(Annahmen!$B$38-Annahmen!$B$29)))</f>
        <v>34.5625</v>
      </c>
      <c r="X8" s="22" t="n">
        <f aca="false">Annahmen!$B$12/(1-Annahmen!$B$15*(1-X6))*((Annahmen!$B$21+X7*(Annahmen!$B$30-Annahmen!$B$21))+(Annahmen!$B$25+X7*(Annahmen!$B$34-Annahmen!$B$25))+(Annahmen!$B$29+X7*(Annahmen!$B$38-Annahmen!$B$29)))+Annahmen!$B$13/(1-Annahmen!$B$15*(1-X6))*((Annahmen!$B$22+X7*(Annahmen!$B$31-Annahmen!$B$22))+(Annahmen!$B$26+X7*(Annahmen!$B$35-Annahmen!$B$26))+(Annahmen!$B$29+X7*(Annahmen!$B$38-Annahmen!$B$29)))+Annahmen!$B$14/(1-Annahmen!$B$15*(1-X6))*((Annahmen!$B$23+X7*(Annahmen!$B$32-Annahmen!$B$23))+(Annahmen!$B$27+X7*(Annahmen!$B$36-Annahmen!$B$27))+(Annahmen!$B$29+X7*(Annahmen!$B$38-Annahmen!$B$29)))+Annahmen!$B$15*X6*((Annahmen!$B$24+X7*(Annahmen!$B$33-Annahmen!$B$24))+(Annahmen!$B$28+X7*(Annahmen!$B$37-Annahmen!$B$28))+(Annahmen!$B$29+X7*(Annahmen!$B$38-Annahmen!$B$29)))</f>
        <v>34.5625</v>
      </c>
      <c r="Y8" s="22" t="n">
        <f aca="false">Annahmen!$B$12/(1-Annahmen!$B$15*(1-Y6))*((Annahmen!$B$21+Y7*(Annahmen!$B$30-Annahmen!$B$21))+(Annahmen!$B$25+Y7*(Annahmen!$B$34-Annahmen!$B$25))+(Annahmen!$B$29+Y7*(Annahmen!$B$38-Annahmen!$B$29)))+Annahmen!$B$13/(1-Annahmen!$B$15*(1-Y6))*((Annahmen!$B$22+Y7*(Annahmen!$B$31-Annahmen!$B$22))+(Annahmen!$B$26+Y7*(Annahmen!$B$35-Annahmen!$B$26))+(Annahmen!$B$29+Y7*(Annahmen!$B$38-Annahmen!$B$29)))+Annahmen!$B$14/(1-Annahmen!$B$15*(1-Y6))*((Annahmen!$B$23+Y7*(Annahmen!$B$32-Annahmen!$B$23))+(Annahmen!$B$27+Y7*(Annahmen!$B$36-Annahmen!$B$27))+(Annahmen!$B$29+Y7*(Annahmen!$B$38-Annahmen!$B$29)))+Annahmen!$B$15*Y6*((Annahmen!$B$24+Y7*(Annahmen!$B$33-Annahmen!$B$24))+(Annahmen!$B$28+Y7*(Annahmen!$B$37-Annahmen!$B$28))+(Annahmen!$B$29+Y7*(Annahmen!$B$38-Annahmen!$B$29)))</f>
        <v>34.5625</v>
      </c>
    </row>
    <row r="9" customFormat="false" ht="15" hidden="false" customHeight="false" outlineLevel="0" collapsed="false">
      <c r="A9" s="5" t="s">
        <v>134</v>
      </c>
      <c r="B9" s="22" t="n">
        <f aca="false">0*(Annahmen!$B$25+B7*(Annahmen!$B$34-Annahmen!$B$25))+0*(Annahmen!$B$26+B7*(Annahmen!$B$35-Annahmen!$B$26))+0*(Annahmen!$B$27+B7*(Annahmen!$B$36-Annahmen!$B$27))+0*(Annahmen!$B$28+B7*(Annahmen!$B$37-Annahmen!$B$28))</f>
        <v>0</v>
      </c>
      <c r="C9" s="22" t="n">
        <f aca="false">B14*(Annahmen!$B$25+C7*(Annahmen!$B$34-Annahmen!$B$25))+B15*(Annahmen!$B$26+C7*(Annahmen!$B$35-Annahmen!$B$26))+B16*(Annahmen!$B$27+C7*(Annahmen!$B$36-Annahmen!$B$27))+B17*(Annahmen!$B$28+C7*(Annahmen!$B$37-Annahmen!$B$28))</f>
        <v>6.41666666666667</v>
      </c>
      <c r="D9" s="22" t="n">
        <f aca="false">C14*(Annahmen!$B$25+D7*(Annahmen!$B$34-Annahmen!$B$25))+C15*(Annahmen!$B$26+D7*(Annahmen!$B$35-Annahmen!$B$26))+C16*(Annahmen!$B$27+D7*(Annahmen!$B$36-Annahmen!$B$27))+C17*(Annahmen!$B$28+D7*(Annahmen!$B$37-Annahmen!$B$28))</f>
        <v>12.6858333333333</v>
      </c>
      <c r="E9" s="22" t="n">
        <f aca="false">D14*(Annahmen!$B$25+E7*(Annahmen!$B$34-Annahmen!$B$25))+D15*(Annahmen!$B$26+E7*(Annahmen!$B$35-Annahmen!$B$26))+D16*(Annahmen!$B$27+E7*(Annahmen!$B$36-Annahmen!$B$27))+D17*(Annahmen!$B$28+E7*(Annahmen!$B$37-Annahmen!$B$28))</f>
        <v>25.2277083333333</v>
      </c>
      <c r="F9" s="22" t="n">
        <f aca="false">E14*(Annahmen!$B$25+F7*(Annahmen!$B$34-Annahmen!$B$25))+E15*(Annahmen!$B$26+F7*(Annahmen!$B$35-Annahmen!$B$26))+E16*(Annahmen!$B$27+F7*(Annahmen!$B$36-Annahmen!$B$27))+E17*(Annahmen!$B$28+F7*(Annahmen!$B$37-Annahmen!$B$28))</f>
        <v>37.4815779166667</v>
      </c>
      <c r="G9" s="22" t="n">
        <f aca="false">F14*(Annahmen!$B$25+G7*(Annahmen!$B$34-Annahmen!$B$25))+F15*(Annahmen!$B$26+G7*(Annahmen!$B$35-Annahmen!$B$26))+F16*(Annahmen!$B$27+G7*(Annahmen!$B$36-Annahmen!$B$27))+F17*(Annahmen!$B$28+G7*(Annahmen!$B$37-Annahmen!$B$28))</f>
        <v>49.4543502308333</v>
      </c>
      <c r="H9" s="22" t="n">
        <f aca="false">G14*(Annahmen!$B$25+H7*(Annahmen!$B$34-Annahmen!$B$25))+G15*(Annahmen!$B$26+H7*(Annahmen!$B$35-Annahmen!$B$26))+G16*(Annahmen!$B$27+H7*(Annahmen!$B$36-Annahmen!$B$27))+G17*(Annahmen!$B$28+H7*(Annahmen!$B$37-Annahmen!$B$28))</f>
        <v>61.1527604891917</v>
      </c>
      <c r="I9" s="22" t="n">
        <f aca="false">H14*(Annahmen!$B$25+I7*(Annahmen!$B$34-Annahmen!$B$25))+H15*(Annahmen!$B$26+I7*(Annahmen!$B$35-Annahmen!$B$26))+H16*(Annahmen!$B$27+I7*(Annahmen!$B$36-Annahmen!$B$27))+H17*(Annahmen!$B$28+I7*(Annahmen!$B$37-Annahmen!$B$28))</f>
        <v>72.5833754760771</v>
      </c>
      <c r="J9" s="22" t="n">
        <f aca="false">I14*(Annahmen!$B$25+J7*(Annahmen!$B$34-Annahmen!$B$25))+I15*(Annahmen!$B$26+J7*(Annahmen!$B$35-Annahmen!$B$26))+I16*(Annahmen!$B$27+J7*(Annahmen!$B$36-Annahmen!$B$27))+I17*(Annahmen!$B$28+J7*(Annahmen!$B$37-Annahmen!$B$28))</f>
        <v>84.044264597059</v>
      </c>
      <c r="K9" s="22" t="n">
        <f aca="false">J14*(Annahmen!$B$25+K7*(Annahmen!$B$34-Annahmen!$B$25))+J15*(Annahmen!$B$26+K7*(Annahmen!$B$35-Annahmen!$B$26))+J16*(Annahmen!$B$27+K7*(Annahmen!$B$36-Annahmen!$B$27))+J17*(Annahmen!$B$28+K7*(Annahmen!$B$37-Annahmen!$B$28))</f>
        <v>95.1487541443766</v>
      </c>
      <c r="L9" s="22" t="n">
        <f aca="false">K14*(Annahmen!$B$25+L7*(Annahmen!$B$34-Annahmen!$B$25))+K15*(Annahmen!$B$26+L7*(Annahmen!$B$35-Annahmen!$B$26))+K16*(Annahmen!$B$27+L7*(Annahmen!$B$36-Annahmen!$B$27))+K17*(Annahmen!$B$28+L7*(Annahmen!$B$37-Annahmen!$B$28))</f>
        <v>105.909910614164</v>
      </c>
      <c r="M9" s="22" t="n">
        <f aca="false">L14*(Annahmen!$B$25+M7*(Annahmen!$B$34-Annahmen!$B$25))+L15*(Annahmen!$B$26+M7*(Annahmen!$B$35-Annahmen!$B$26))+L16*(Annahmen!$B$27+M7*(Annahmen!$B$36-Annahmen!$B$27))+L17*(Annahmen!$B$28+M7*(Annahmen!$B$37-Annahmen!$B$28))</f>
        <v>115.384260100749</v>
      </c>
      <c r="N9" s="22" t="n">
        <f aca="false">M14*(Annahmen!$B$25+N7*(Annahmen!$B$34-Annahmen!$B$25))+M15*(Annahmen!$B$26+N7*(Annahmen!$B$35-Annahmen!$B$26))+M16*(Annahmen!$B$27+N7*(Annahmen!$B$36-Annahmen!$B$27))+M17*(Annahmen!$B$28+N7*(Annahmen!$B$37-Annahmen!$B$28))</f>
        <v>122.769734850839</v>
      </c>
      <c r="O9" s="22" t="n">
        <f aca="false">N14*(Annahmen!$B$25+O7*(Annahmen!$B$34-Annahmen!$B$25))+N15*(Annahmen!$B$26+O7*(Annahmen!$B$35-Annahmen!$B$26))+N16*(Annahmen!$B$27+O7*(Annahmen!$B$36-Annahmen!$B$27))+N17*(Annahmen!$B$28+O7*(Annahmen!$B$37-Annahmen!$B$28))</f>
        <v>128.527747960943</v>
      </c>
      <c r="P9" s="22" t="n">
        <f aca="false">O14*(Annahmen!$B$25+P7*(Annahmen!$B$34-Annahmen!$B$25))+O15*(Annahmen!$B$26+P7*(Annahmen!$B$35-Annahmen!$B$26))+O16*(Annahmen!$B$27+P7*(Annahmen!$B$36-Annahmen!$B$27))+O17*(Annahmen!$B$28+P7*(Annahmen!$B$37-Annahmen!$B$28))</f>
        <v>133.017768167939</v>
      </c>
      <c r="Q9" s="22" t="n">
        <f aca="false">P14*(Annahmen!$B$25+Q7*(Annahmen!$B$34-Annahmen!$B$25))+P15*(Annahmen!$B$26+Q7*(Annahmen!$B$35-Annahmen!$B$26))+P16*(Annahmen!$B$27+Q7*(Annahmen!$B$36-Annahmen!$B$27))+P17*(Annahmen!$B$28+Q7*(Annahmen!$B$37-Annahmen!$B$28))</f>
        <v>136.519843990701</v>
      </c>
      <c r="R9" s="22" t="n">
        <f aca="false">Q14*(Annahmen!$B$25+R7*(Annahmen!$B$34-Annahmen!$B$25))+Q15*(Annahmen!$B$26+R7*(Annahmen!$B$35-Annahmen!$B$26))+Q16*(Annahmen!$B$27+R7*(Annahmen!$B$36-Annahmen!$B$27))+Q17*(Annahmen!$B$28+R7*(Annahmen!$B$37-Annahmen!$B$28))</f>
        <v>139.252151248122</v>
      </c>
      <c r="S9" s="22" t="n">
        <f aca="false">R14*(Annahmen!$B$25+S7*(Annahmen!$B$34-Annahmen!$B$25))+R15*(Annahmen!$B$26+S7*(Annahmen!$B$35-Annahmen!$B$26))+R16*(Annahmen!$B$27+S7*(Annahmen!$B$36-Annahmen!$B$27))+R17*(Annahmen!$B$28+S7*(Annahmen!$B$37-Annahmen!$B$28))</f>
        <v>141.384663520161</v>
      </c>
      <c r="T9" s="22" t="n">
        <f aca="false">S14*(Annahmen!$B$25+T7*(Annahmen!$B$34-Annahmen!$B$25))+S15*(Annahmen!$B$26+T7*(Annahmen!$B$35-Annahmen!$B$26))+S16*(Annahmen!$B$27+T7*(Annahmen!$B$36-Annahmen!$B$27))+S17*(Annahmen!$B$28+T7*(Annahmen!$B$37-Annahmen!$B$28))</f>
        <v>143.049802173275</v>
      </c>
      <c r="U9" s="22" t="n">
        <f aca="false">T14*(Annahmen!$B$25+U7*(Annahmen!$B$34-Annahmen!$B$25))+T15*(Annahmen!$B$26+U7*(Annahmen!$B$35-Annahmen!$B$26))+T16*(Annahmen!$B$27+U7*(Annahmen!$B$36-Annahmen!$B$27))+T17*(Annahmen!$B$28+U7*(Annahmen!$B$37-Annahmen!$B$28))</f>
        <v>144.350733304331</v>
      </c>
      <c r="V9" s="22" t="n">
        <f aca="false">U14*(Annahmen!$B$25+V7*(Annahmen!$B$34-Annahmen!$B$25))+U15*(Annahmen!$B$26+V7*(Annahmen!$B$35-Annahmen!$B$26))+U16*(Annahmen!$B$27+V7*(Annahmen!$B$36-Annahmen!$B$27))+U17*(Annahmen!$B$28+V7*(Annahmen!$B$37-Annahmen!$B$28))</f>
        <v>145.367831507604</v>
      </c>
      <c r="W9" s="22" t="n">
        <f aca="false">V14*(Annahmen!$B$25+W7*(Annahmen!$B$34-Annahmen!$B$25))+V15*(Annahmen!$B$26+W7*(Annahmen!$B$35-Annahmen!$B$26))+V16*(Annahmen!$B$27+W7*(Annahmen!$B$36-Annahmen!$B$27))+V17*(Annahmen!$B$28+W7*(Annahmen!$B$37-Annahmen!$B$28))</f>
        <v>146.163715498491</v>
      </c>
      <c r="X9" s="22" t="n">
        <f aca="false">W14*(Annahmen!$B$25+X7*(Annahmen!$B$34-Annahmen!$B$25))+W15*(Annahmen!$B$26+X7*(Annahmen!$B$35-Annahmen!$B$26))+W16*(Annahmen!$B$27+X7*(Annahmen!$B$36-Annahmen!$B$27))+W17*(Annahmen!$B$28+X7*(Annahmen!$B$37-Annahmen!$B$28))</f>
        <v>146.787171136893</v>
      </c>
      <c r="Y9" s="22" t="n">
        <f aca="false">X14*(Annahmen!$B$25+Y7*(Annahmen!$B$34-Annahmen!$B$25))+X15*(Annahmen!$B$26+Y7*(Annahmen!$B$35-Annahmen!$B$26))+X16*(Annahmen!$B$27+Y7*(Annahmen!$B$36-Annahmen!$B$27))+X17*(Annahmen!$B$28+Y7*(Annahmen!$B$37-Annahmen!$B$28))</f>
        <v>147.276207675116</v>
      </c>
    </row>
    <row r="10" customFormat="false" ht="15" hidden="false" customHeight="false" outlineLevel="0" collapsed="false">
      <c r="A10" s="5" t="s">
        <v>135</v>
      </c>
      <c r="B10" s="22" t="n">
        <f aca="false">MAX(0,(Annahmen!$B$41-B9)/B8)</f>
        <v>4.58426966292135</v>
      </c>
      <c r="C10" s="22" t="n">
        <f aca="false">MAX(0,(Annahmen!$B$41-C9)/C8)</f>
        <v>4.41123595505618</v>
      </c>
      <c r="D10" s="22" t="n">
        <f aca="false">MAX(0,(Annahmen!$B$41-D9)/D8)</f>
        <v>4.2421797752809</v>
      </c>
      <c r="E10" s="22" t="n">
        <f aca="false">MAX(0,(Annahmen!$B$41-E9)/E8)</f>
        <v>3.90397191011236</v>
      </c>
      <c r="F10" s="22" t="n">
        <f aca="false">MAX(0,(Annahmen!$B$41-F9)/F8)</f>
        <v>3.57353048314607</v>
      </c>
      <c r="G10" s="22" t="n">
        <f aca="false">MAX(0,(Annahmen!$B$41-G9)/G8)</f>
        <v>3.25066920725843</v>
      </c>
      <c r="H10" s="22" t="n">
        <f aca="false">MAX(0,(Annahmen!$B$41-H9)/H8)</f>
        <v>2.93520645871843</v>
      </c>
      <c r="I10" s="22" t="n">
        <f aca="false">MAX(0,(Annahmen!$B$41-I9)/I8)</f>
        <v>2.81856418152399</v>
      </c>
      <c r="J10" s="22" t="n">
        <f aca="false">MAX(0,(Annahmen!$B$41-J9)/J8)</f>
        <v>2.48696521961493</v>
      </c>
      <c r="K10" s="22" t="n">
        <f aca="false">MAX(0,(Annahmen!$B$41-K9)/K8)</f>
        <v>2.16567799943938</v>
      </c>
      <c r="L10" s="22" t="n">
        <f aca="false">MAX(0,(Annahmen!$B$41-L9)/L8)</f>
        <v>1.85432446685964</v>
      </c>
      <c r="M10" s="22" t="n">
        <f aca="false">MAX(0,(Annahmen!$B$41-M9)/M8)</f>
        <v>1.58020223939967</v>
      </c>
      <c r="N10" s="22" t="n">
        <f aca="false">MAX(0,(Annahmen!$B$41-N9)/N8)</f>
        <v>1.36651761733557</v>
      </c>
      <c r="O10" s="22" t="n">
        <f aca="false">MAX(0,(Annahmen!$B$41-O9)/O8)</f>
        <v>1.19992049299261</v>
      </c>
      <c r="P10" s="22" t="n">
        <f aca="false">MAX(0,(Annahmen!$B$41-P9)/P8)</f>
        <v>1.07001032425492</v>
      </c>
      <c r="Q10" s="22" t="n">
        <f aca="false">MAX(0,(Annahmen!$B$41-Q9)/Q8)</f>
        <v>0.968684441498715</v>
      </c>
      <c r="R10" s="22" t="n">
        <f aca="false">MAX(0,(Annahmen!$B$41-R9)/R8)</f>
        <v>0.889630343634795</v>
      </c>
      <c r="S10" s="22" t="n">
        <f aca="false">MAX(0,(Annahmen!$B$41-S9)/S8)</f>
        <v>0.827930169398602</v>
      </c>
      <c r="T10" s="22" t="n">
        <f aca="false">MAX(0,(Annahmen!$B$41-T9)/T8)</f>
        <v>0.779752559181913</v>
      </c>
      <c r="U10" s="22" t="n">
        <f aca="false">MAX(0,(Annahmen!$B$41-U9)/U8)</f>
        <v>0.742112598789686</v>
      </c>
      <c r="V10" s="22" t="n">
        <f aca="false">MAX(0,(Annahmen!$B$41-V9)/V8)</f>
        <v>0.712684802673315</v>
      </c>
      <c r="W10" s="22" t="n">
        <f aca="false">MAX(0,(Annahmen!$B$41-W9)/W8)</f>
        <v>0.689657417765167</v>
      </c>
      <c r="X10" s="22" t="n">
        <f aca="false">MAX(0,(Annahmen!$B$41-X9)/X8)</f>
        <v>0.671618918281571</v>
      </c>
      <c r="Y10" s="22" t="n">
        <f aca="false">MAX(0,(Annahmen!$B$41-Y9)/Y8)</f>
        <v>0.657469579020155</v>
      </c>
    </row>
    <row r="11" customFormat="false" ht="15" hidden="false" customHeight="false" outlineLevel="0" collapsed="false">
      <c r="A11" s="7" t="s">
        <v>136</v>
      </c>
      <c r="B11" s="21" t="n">
        <f aca="false">MIN(B5,B10)</f>
        <v>1</v>
      </c>
      <c r="C11" s="21" t="n">
        <f aca="false">MIN(C5,C10)</f>
        <v>1</v>
      </c>
      <c r="D11" s="21" t="n">
        <f aca="false">MIN(D5,D10)</f>
        <v>2</v>
      </c>
      <c r="E11" s="21" t="n">
        <f aca="false">MIN(E5,E10)</f>
        <v>2</v>
      </c>
      <c r="F11" s="21" t="n">
        <f aca="false">MIN(F5,F10)</f>
        <v>2</v>
      </c>
      <c r="G11" s="21" t="n">
        <f aca="false">MIN(G5,G10)</f>
        <v>2</v>
      </c>
      <c r="H11" s="21" t="n">
        <f aca="false">MIN(H5,H10)</f>
        <v>2</v>
      </c>
      <c r="I11" s="21" t="n">
        <f aca="false">MIN(I5,I10)</f>
        <v>2</v>
      </c>
      <c r="J11" s="21" t="n">
        <f aca="false">MIN(J5,J10)</f>
        <v>2</v>
      </c>
      <c r="K11" s="21" t="n">
        <f aca="false">MIN(K5,K10)</f>
        <v>2</v>
      </c>
      <c r="L11" s="21" t="n">
        <f aca="false">MIN(L5,L10)</f>
        <v>1.85432446685964</v>
      </c>
      <c r="M11" s="21" t="n">
        <f aca="false">MIN(M5,M10)</f>
        <v>1.58020223939967</v>
      </c>
      <c r="N11" s="21" t="n">
        <f aca="false">MIN(N5,N10)</f>
        <v>1.36651761733557</v>
      </c>
      <c r="O11" s="21" t="n">
        <f aca="false">MIN(O5,O10)</f>
        <v>1.19992049299261</v>
      </c>
      <c r="P11" s="21" t="n">
        <f aca="false">MIN(P5,P10)</f>
        <v>1.07001032425492</v>
      </c>
      <c r="Q11" s="21" t="n">
        <f aca="false">MIN(Q5,Q10)</f>
        <v>0.968684441498715</v>
      </c>
      <c r="R11" s="21" t="n">
        <f aca="false">MIN(R5,R10)</f>
        <v>0.889630343634795</v>
      </c>
      <c r="S11" s="21" t="n">
        <f aca="false">MIN(S5,S10)</f>
        <v>0.827930169398602</v>
      </c>
      <c r="T11" s="21" t="n">
        <f aca="false">MIN(T5,T10)</f>
        <v>0.779752559181913</v>
      </c>
      <c r="U11" s="21" t="n">
        <f aca="false">MIN(U5,U10)</f>
        <v>0.742112598789686</v>
      </c>
      <c r="V11" s="21" t="n">
        <f aca="false">MIN(V5,V10)</f>
        <v>0.712684802673315</v>
      </c>
      <c r="W11" s="21" t="n">
        <f aca="false">MIN(W5,W10)</f>
        <v>0.689657417765167</v>
      </c>
      <c r="X11" s="21" t="n">
        <f aca="false">MIN(X5,X10)</f>
        <v>0.671618918281571</v>
      </c>
      <c r="Y11" s="21" t="n">
        <f aca="false">MIN(Y5,Y10)</f>
        <v>0.657469579020155</v>
      </c>
    </row>
    <row r="12" customFormat="false" ht="15" hidden="false" customHeight="false" outlineLevel="0" collapsed="false">
      <c r="A12" s="5" t="s">
        <v>137</v>
      </c>
      <c r="B12" s="22" t="n">
        <f aca="false">0+B11</f>
        <v>1</v>
      </c>
      <c r="C12" s="22" t="n">
        <f aca="false">B12+C11</f>
        <v>2</v>
      </c>
      <c r="D12" s="22" t="n">
        <f aca="false">C12+D11</f>
        <v>4</v>
      </c>
      <c r="E12" s="22" t="n">
        <f aca="false">D12+E11</f>
        <v>6</v>
      </c>
      <c r="F12" s="22" t="n">
        <f aca="false">E12+F11</f>
        <v>8</v>
      </c>
      <c r="G12" s="22" t="n">
        <f aca="false">F12+G11</f>
        <v>10</v>
      </c>
      <c r="H12" s="22" t="n">
        <f aca="false">G12+H11</f>
        <v>12</v>
      </c>
      <c r="I12" s="22" t="n">
        <f aca="false">H12+I11</f>
        <v>14</v>
      </c>
      <c r="J12" s="22" t="n">
        <f aca="false">I12+J11</f>
        <v>16</v>
      </c>
      <c r="K12" s="22" t="n">
        <f aca="false">J12+K11</f>
        <v>18</v>
      </c>
      <c r="L12" s="22" t="n">
        <f aca="false">K12+L11</f>
        <v>19.8543244668596</v>
      </c>
      <c r="M12" s="22" t="n">
        <f aca="false">L12+M11</f>
        <v>21.4345267062593</v>
      </c>
      <c r="N12" s="22" t="n">
        <f aca="false">M12+N11</f>
        <v>22.8010443235949</v>
      </c>
      <c r="O12" s="22" t="n">
        <f aca="false">N12+O11</f>
        <v>24.0009648165875</v>
      </c>
      <c r="P12" s="22" t="n">
        <f aca="false">O12+P11</f>
        <v>25.0709751408424</v>
      </c>
      <c r="Q12" s="22" t="n">
        <f aca="false">P12+Q11</f>
        <v>26.0396595823411</v>
      </c>
      <c r="R12" s="22" t="n">
        <f aca="false">Q12+R11</f>
        <v>26.9292899259759</v>
      </c>
      <c r="S12" s="22" t="n">
        <f aca="false">R12+S11</f>
        <v>27.7572200953745</v>
      </c>
      <c r="T12" s="22" t="n">
        <f aca="false">S12+T11</f>
        <v>28.5369726545564</v>
      </c>
      <c r="U12" s="22" t="n">
        <f aca="false">T12+U11</f>
        <v>29.2790852533461</v>
      </c>
      <c r="V12" s="22" t="n">
        <f aca="false">U12+V11</f>
        <v>29.9917700560194</v>
      </c>
      <c r="W12" s="22" t="n">
        <f aca="false">V12+W11</f>
        <v>30.6814274737846</v>
      </c>
      <c r="X12" s="22" t="n">
        <f aca="false">W12+X11</f>
        <v>31.3530463920662</v>
      </c>
      <c r="Y12" s="22" t="n">
        <f aca="false">X12+Y11</f>
        <v>32.0105159710863</v>
      </c>
    </row>
    <row r="13" customFormat="false" ht="15" hidden="false" customHeight="fals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customFormat="false" ht="15" hidden="false" customHeight="false" outlineLevel="0" collapsed="false">
      <c r="A14" s="5" t="s">
        <v>138</v>
      </c>
      <c r="B14" s="22" t="n">
        <f aca="false">0*(1-Annahmen!$B$17)+B11*Annahmen!$B$12/(1-Annahmen!$B$15*(1-B6))</f>
        <v>0.333333333333333</v>
      </c>
      <c r="C14" s="22" t="n">
        <f aca="false">B14*(1-Annahmen!$B$17)+C11*Annahmen!$B$12/(1-Annahmen!$B$15*(1-C6))</f>
        <v>0.663333333333333</v>
      </c>
      <c r="D14" s="22" t="n">
        <f aca="false">C14*(1-Annahmen!$B$17)+D11*Annahmen!$B$12/(1-Annahmen!$B$15*(1-D6))</f>
        <v>1.32336666666667</v>
      </c>
      <c r="E14" s="22" t="n">
        <f aca="false">D14*(1-Annahmen!$B$17)+E11*Annahmen!$B$12/(1-Annahmen!$B$15*(1-E6))</f>
        <v>1.97679966666667</v>
      </c>
      <c r="F14" s="22" t="n">
        <f aca="false">E14*(1-Annahmen!$B$17)+F11*Annahmen!$B$12/(1-Annahmen!$B$15*(1-F6))</f>
        <v>2.62369833666667</v>
      </c>
      <c r="G14" s="22" t="n">
        <f aca="false">F14*(1-Annahmen!$B$17)+G11*Annahmen!$B$12/(1-Annahmen!$B$15*(1-G6))</f>
        <v>3.26412801996667</v>
      </c>
      <c r="H14" s="22" t="n">
        <f aca="false">G14*(1-Annahmen!$B$17)+H11*Annahmen!$B$12/(1-Annahmen!$B$15*(1-H6))</f>
        <v>3.89815340643367</v>
      </c>
      <c r="I14" s="22" t="n">
        <f aca="false">H14*(1-Annahmen!$B$17)+I11*Annahmen!$B$12/(1-Annahmen!$B$15*(1-I6))</f>
        <v>4.35917187236933</v>
      </c>
      <c r="J14" s="22" t="n">
        <f aca="false">I14*(1-Annahmen!$B$17)+J11*Annahmen!$B$12/(1-Annahmen!$B$15*(1-J6))</f>
        <v>4.81558015364564</v>
      </c>
      <c r="K14" s="22" t="n">
        <f aca="false">J14*(1-Annahmen!$B$17)+K11*Annahmen!$B$12/(1-Annahmen!$B$15*(1-K6))</f>
        <v>5.26742435210918</v>
      </c>
      <c r="L14" s="22" t="n">
        <f aca="false">K14*(1-Annahmen!$B$17)+L11*Annahmen!$B$12/(1-Annahmen!$B$15*(1-L6))</f>
        <v>5.678331225303</v>
      </c>
      <c r="M14" s="22" t="n">
        <f aca="false">L14*(1-Annahmen!$B$17)+M11*Annahmen!$B$12/(1-Annahmen!$B$15*(1-M6))</f>
        <v>6.01659847289989</v>
      </c>
      <c r="N14" s="22" t="n">
        <f aca="false">M14*(1-Annahmen!$B$17)+N11*Annahmen!$B$12/(1-Annahmen!$B$15*(1-N6))</f>
        <v>6.29806189250478</v>
      </c>
      <c r="O14" s="22" t="n">
        <f aca="false">N14*(1-Annahmen!$B$17)+O11*Annahmen!$B$12/(1-Annahmen!$B$15*(1-O6))</f>
        <v>6.53506139682789</v>
      </c>
      <c r="P14" s="22" t="n">
        <f aca="false">O14*(1-Annahmen!$B$17)+P11*Annahmen!$B$12/(1-Annahmen!$B$15*(1-P6))</f>
        <v>6.73721336392334</v>
      </c>
      <c r="Q14" s="22" t="n">
        <f aca="false">P14*(1-Annahmen!$B$17)+Q11*Annahmen!$B$12/(1-Annahmen!$B$15*(1-Q6))</f>
        <v>6.91201234065878</v>
      </c>
      <c r="R14" s="22" t="n">
        <f aca="false">Q14*(1-Annahmen!$B$17)+R11*Annahmen!$B$12/(1-Annahmen!$B$15*(1-R6))</f>
        <v>7.06529980316089</v>
      </c>
      <c r="S14" s="22" t="n">
        <f aca="false">R14*(1-Annahmen!$B$17)+S11*Annahmen!$B$12/(1-Annahmen!$B$15*(1-S6))</f>
        <v>7.20162934747893</v>
      </c>
      <c r="T14" s="22" t="n">
        <f aca="false">S14*(1-Annahmen!$B$17)+T11*Annahmen!$B$12/(1-Annahmen!$B$15*(1-T6))</f>
        <v>7.32455119379962</v>
      </c>
      <c r="U14" s="22" t="n">
        <f aca="false">T14*(1-Annahmen!$B$17)+U11*Annahmen!$B$12/(1-Annahmen!$B$15*(1-U6))</f>
        <v>7.43683383155905</v>
      </c>
      <c r="V14" s="22" t="n">
        <f aca="false">U14*(1-Annahmen!$B$17)+V11*Annahmen!$B$12/(1-Annahmen!$B$15*(1-V6))</f>
        <v>7.54063669391179</v>
      </c>
      <c r="W14" s="22" t="n">
        <f aca="false">V14*(1-Annahmen!$B$17)+W11*Annahmen!$B$12/(1-Annahmen!$B$15*(1-W6))</f>
        <v>7.63764468141396</v>
      </c>
      <c r="X14" s="22" t="n">
        <f aca="false">W14*(1-Annahmen!$B$17)+X11*Annahmen!$B$12/(1-Annahmen!$B$15*(1-X6))</f>
        <v>7.72917296417021</v>
      </c>
      <c r="Y14" s="22" t="n">
        <f aca="false">X14*(1-Annahmen!$B$17)+Y11*Annahmen!$B$12/(1-Annahmen!$B$15*(1-Y6))</f>
        <v>7.81624862928355</v>
      </c>
    </row>
    <row r="15" customFormat="false" ht="15" hidden="false" customHeight="false" outlineLevel="0" collapsed="false">
      <c r="A15" s="5" t="s">
        <v>139</v>
      </c>
      <c r="B15" s="22" t="n">
        <f aca="false">0*(1-Annahmen!$B$18)+B11*Annahmen!$B$13/(1-Annahmen!$B$15*(1-B6))</f>
        <v>0.333333333333333</v>
      </c>
      <c r="C15" s="22" t="n">
        <f aca="false">B15*(1-Annahmen!$B$18)+C11*Annahmen!$B$13/(1-Annahmen!$B$15*(1-C6))</f>
        <v>0.66</v>
      </c>
      <c r="D15" s="22" t="n">
        <f aca="false">C15*(1-Annahmen!$B$18)+D11*Annahmen!$B$13/(1-Annahmen!$B$15*(1-D6))</f>
        <v>1.31346666666667</v>
      </c>
      <c r="E15" s="22" t="n">
        <f aca="false">D15*(1-Annahmen!$B$18)+E11*Annahmen!$B$13/(1-Annahmen!$B$15*(1-E6))</f>
        <v>1.953864</v>
      </c>
      <c r="F15" s="22" t="n">
        <f aca="false">E15*(1-Annahmen!$B$18)+F11*Annahmen!$B$13/(1-Annahmen!$B$15*(1-F6))</f>
        <v>2.58145338666667</v>
      </c>
      <c r="G15" s="22" t="n">
        <f aca="false">F15*(1-Annahmen!$B$18)+G11*Annahmen!$B$13/(1-Annahmen!$B$15*(1-G6))</f>
        <v>3.1964909856</v>
      </c>
      <c r="H15" s="22" t="n">
        <f aca="false">G15*(1-Annahmen!$B$18)+H11*Annahmen!$B$13/(1-Annahmen!$B$15*(1-H6))</f>
        <v>3.79922783255467</v>
      </c>
      <c r="I15" s="22" t="n">
        <f aca="false">H15*(1-Annahmen!$B$18)+I11*Annahmen!$B$13/(1-Annahmen!$B$15*(1-I6))</f>
        <v>4.22324327590357</v>
      </c>
      <c r="J15" s="22" t="n">
        <f aca="false">I15*(1-Annahmen!$B$18)+J11*Annahmen!$B$13/(1-Annahmen!$B$15*(1-J6))</f>
        <v>4.6387784103855</v>
      </c>
      <c r="K15" s="22" t="n">
        <f aca="false">J15*(1-Annahmen!$B$18)+K11*Annahmen!$B$13/(1-Annahmen!$B$15*(1-K6))</f>
        <v>5.04600284217779</v>
      </c>
      <c r="L15" s="22" t="n">
        <f aca="false">K15*(1-Annahmen!$B$18)+L11*Annahmen!$B$13/(1-Annahmen!$B$15*(1-L6))</f>
        <v>5.40866390204915</v>
      </c>
      <c r="M15" s="22" t="n">
        <f aca="false">L15*(1-Annahmen!$B$18)+M11*Annahmen!$B$13/(1-Annahmen!$B$15*(1-M6))</f>
        <v>5.69554118385808</v>
      </c>
      <c r="N15" s="22" t="n">
        <f aca="false">M15*(1-Annahmen!$B$18)+N11*Annahmen!$B$13/(1-Annahmen!$B$15*(1-N6))</f>
        <v>5.92325976451481</v>
      </c>
      <c r="O15" s="22" t="n">
        <f aca="false">N15*(1-Annahmen!$B$18)+O11*Annahmen!$B$13/(1-Annahmen!$B$15*(1-O6))</f>
        <v>6.10477469247267</v>
      </c>
      <c r="P15" s="22" t="n">
        <f aca="false">O15*(1-Annahmen!$B$18)+P11*Annahmen!$B$13/(1-Annahmen!$B$15*(1-P6))</f>
        <v>6.25018177968694</v>
      </c>
      <c r="Q15" s="22" t="n">
        <f aca="false">P15*(1-Annahmen!$B$18)+Q11*Annahmen!$B$13/(1-Annahmen!$B$15*(1-Q6))</f>
        <v>6.36734925446788</v>
      </c>
      <c r="R15" s="22" t="n">
        <f aca="false">Q15*(1-Annahmen!$B$18)+R11*Annahmen!$B$13/(1-Annahmen!$B$15*(1-R6))</f>
        <v>6.46240985528723</v>
      </c>
      <c r="S15" s="22" t="n">
        <f aca="false">R15*(1-Annahmen!$B$18)+S11*Annahmen!$B$13/(1-Annahmen!$B$15*(1-S6))</f>
        <v>6.54014420053113</v>
      </c>
      <c r="T15" s="22" t="n">
        <f aca="false">S15*(1-Annahmen!$B$18)+T11*Annahmen!$B$13/(1-Annahmen!$B$15*(1-T6))</f>
        <v>6.60427945631599</v>
      </c>
      <c r="U15" s="22" t="n">
        <f aca="false">T15*(1-Annahmen!$B$18)+U11*Annahmen!$B$13/(1-Annahmen!$B$15*(1-U6))</f>
        <v>6.65772201688709</v>
      </c>
      <c r="V15" s="22" t="n">
        <f aca="false">U15*(1-Annahmen!$B$18)+V11*Annahmen!$B$13/(1-Annahmen!$B$15*(1-V6))</f>
        <v>6.70273877721767</v>
      </c>
      <c r="W15" s="22" t="n">
        <f aca="false">V15*(1-Annahmen!$B$18)+W11*Annahmen!$B$13/(1-Annahmen!$B$15*(1-W6))</f>
        <v>6.74109835611461</v>
      </c>
      <c r="X15" s="22" t="n">
        <f aca="false">W15*(1-Annahmen!$B$18)+X11*Annahmen!$B$13/(1-Annahmen!$B$15*(1-X6))</f>
        <v>6.77418111856271</v>
      </c>
      <c r="Y15" s="22" t="n">
        <f aca="false">X15*(1-Annahmen!$B$18)+Y11*Annahmen!$B$13/(1-Annahmen!$B$15*(1-Y6))</f>
        <v>6.8030648909465</v>
      </c>
    </row>
    <row r="16" customFormat="false" ht="15" hidden="false" customHeight="false" outlineLevel="0" collapsed="false">
      <c r="A16" s="5" t="s">
        <v>140</v>
      </c>
      <c r="B16" s="22" t="n">
        <f aca="false">0*(1-Annahmen!$B$19)+B11*Annahmen!$B$14/(1-Annahmen!$B$15*(1-B6))</f>
        <v>0.333333333333333</v>
      </c>
      <c r="C16" s="22" t="n">
        <f aca="false">B16*(1-Annahmen!$B$19)+C11*Annahmen!$B$14/(1-Annahmen!$B$15*(1-C6))</f>
        <v>0.656666666666667</v>
      </c>
      <c r="D16" s="22" t="n">
        <f aca="false">C16*(1-Annahmen!$B$19)+D11*Annahmen!$B$14/(1-Annahmen!$B$15*(1-D6))</f>
        <v>1.30363333333333</v>
      </c>
      <c r="E16" s="22" t="n">
        <f aca="false">D16*(1-Annahmen!$B$19)+E11*Annahmen!$B$14/(1-Annahmen!$B$15*(1-E6))</f>
        <v>1.931191</v>
      </c>
      <c r="F16" s="22" t="n">
        <f aca="false">E16*(1-Annahmen!$B$19)+F11*Annahmen!$B$14/(1-Annahmen!$B$15*(1-F6))</f>
        <v>2.53992193666667</v>
      </c>
      <c r="G16" s="22" t="n">
        <f aca="false">F16*(1-Annahmen!$B$19)+G11*Annahmen!$B$14/(1-Annahmen!$B$15*(1-G6))</f>
        <v>3.13039094523333</v>
      </c>
      <c r="H16" s="22" t="n">
        <f aca="false">G16*(1-Annahmen!$B$19)+H11*Annahmen!$B$14/(1-Annahmen!$B$15*(1-H6))</f>
        <v>3.703145883543</v>
      </c>
      <c r="I16" s="22" t="n">
        <f aca="false">H16*(1-Annahmen!$B$19)+I11*Annahmen!$B$14/(1-Annahmen!$B$15*(1-I6))</f>
        <v>4.09205150703671</v>
      </c>
      <c r="J16" s="22" t="n">
        <f aca="false">I16*(1-Annahmen!$B$19)+J11*Annahmen!$B$14/(1-Annahmen!$B$15*(1-J6))</f>
        <v>4.46928996182561</v>
      </c>
      <c r="K16" s="22" t="n">
        <f aca="false">J16*(1-Annahmen!$B$19)+K11*Annahmen!$B$14/(1-Annahmen!$B$15*(1-K6))</f>
        <v>4.83521126297084</v>
      </c>
      <c r="L16" s="22" t="n">
        <f aca="false">K16*(1-Annahmen!$B$19)+L11*Annahmen!$B$14/(1-Annahmen!$B$15*(1-L6))</f>
        <v>5.15373604179662</v>
      </c>
      <c r="M16" s="22" t="n">
        <f aca="false">L16*(1-Annahmen!$B$19)+M11*Annahmen!$B$14/(1-Annahmen!$B$15*(1-M6))</f>
        <v>5.39417452039264</v>
      </c>
      <c r="N16" s="22" t="n">
        <f aca="false">M16*(1-Annahmen!$B$19)+N11*Annahmen!$B$14/(1-Annahmen!$B$15*(1-N6))</f>
        <v>5.57397868911476</v>
      </c>
      <c r="O16" s="22" t="n">
        <f aca="false">N16*(1-Annahmen!$B$19)+O11*Annahmen!$B$14/(1-Annahmen!$B$15*(1-O6))</f>
        <v>5.70673945168947</v>
      </c>
      <c r="P16" s="22" t="n">
        <f aca="false">O16*(1-Annahmen!$B$19)+P11*Annahmen!$B$14/(1-Annahmen!$B$15*(1-P6))</f>
        <v>5.80303984920251</v>
      </c>
      <c r="Q16" s="22" t="n">
        <f aca="false">P16*(1-Annahmen!$B$19)+Q11*Annahmen!$B$14/(1-Annahmen!$B$15*(1-Q6))</f>
        <v>5.87111976410112</v>
      </c>
      <c r="R16" s="22" t="n">
        <f aca="false">Q16*(1-Annahmen!$B$19)+R11*Annahmen!$B$14/(1-Annahmen!$B$15*(1-R6))</f>
        <v>5.91739375708678</v>
      </c>
      <c r="S16" s="22" t="n">
        <f aca="false">R16*(1-Annahmen!$B$19)+S11*Annahmen!$B$14/(1-Annahmen!$B$15*(1-S6))</f>
        <v>5.94685448672383</v>
      </c>
      <c r="T16" s="22" t="n">
        <f aca="false">S16*(1-Annahmen!$B$19)+T11*Annahmen!$B$14/(1-Annahmen!$B$15*(1-T6))</f>
        <v>5.96338699191759</v>
      </c>
      <c r="U16" s="22" t="n">
        <f aca="false">T16*(1-Annahmen!$B$19)+U11*Annahmen!$B$14/(1-Annahmen!$B$15*(1-U6))</f>
        <v>5.97001353185749</v>
      </c>
      <c r="V16" s="22" t="n">
        <f aca="false">U16*(1-Annahmen!$B$19)+V11*Annahmen!$B$14/(1-Annahmen!$B$15*(1-V6))</f>
        <v>5.96908432657009</v>
      </c>
      <c r="W16" s="22" t="n">
        <f aca="false">V16*(1-Annahmen!$B$19)+W11*Annahmen!$B$14/(1-Annahmen!$B$15*(1-W6))</f>
        <v>5.96242615121428</v>
      </c>
      <c r="X16" s="22" t="n">
        <f aca="false">W16*(1-Annahmen!$B$19)+X11*Annahmen!$B$14/(1-Annahmen!$B$15*(1-X6))</f>
        <v>5.95145809624824</v>
      </c>
      <c r="Y16" s="22" t="n">
        <f aca="false">X16*(1-Annahmen!$B$19)+Y11*Annahmen!$B$14/(1-Annahmen!$B$15*(1-Y6))</f>
        <v>5.93728174811583</v>
      </c>
    </row>
    <row r="17" customFormat="false" ht="15" hidden="false" customHeight="false" outlineLevel="0" collapsed="false">
      <c r="A17" s="5" t="s">
        <v>141</v>
      </c>
      <c r="B17" s="22" t="n">
        <f aca="false">0*(1-Annahmen!$B$20)+B11*Annahmen!$B$15*B6</f>
        <v>0</v>
      </c>
      <c r="C17" s="22" t="n">
        <f aca="false">B17*(1-Annahmen!$B$20)+C11*Annahmen!$B$15*C6</f>
        <v>0</v>
      </c>
      <c r="D17" s="22" t="n">
        <f aca="false">C17*(1-Annahmen!$B$20)+D11*Annahmen!$B$15*D6</f>
        <v>0</v>
      </c>
      <c r="E17" s="22" t="n">
        <f aca="false">D17*(1-Annahmen!$B$20)+E11*Annahmen!$B$15*E6</f>
        <v>0</v>
      </c>
      <c r="F17" s="22" t="n">
        <f aca="false">E17*(1-Annahmen!$B$20)+F11*Annahmen!$B$15*F6</f>
        <v>0</v>
      </c>
      <c r="G17" s="22" t="n">
        <f aca="false">F17*(1-Annahmen!$B$20)+G11*Annahmen!$B$15*G6</f>
        <v>0</v>
      </c>
      <c r="H17" s="22" t="n">
        <f aca="false">G17*(1-Annahmen!$B$20)+H11*Annahmen!$B$15*H6</f>
        <v>0</v>
      </c>
      <c r="I17" s="22" t="n">
        <f aca="false">H17*(1-Annahmen!$B$20)+I11*Annahmen!$B$15*I6</f>
        <v>0.5</v>
      </c>
      <c r="J17" s="22" t="n">
        <f aca="false">I17*(1-Annahmen!$B$20)+J11*Annahmen!$B$15*J6</f>
        <v>0.975</v>
      </c>
      <c r="K17" s="22" t="n">
        <f aca="false">J17*(1-Annahmen!$B$20)+K11*Annahmen!$B$15*K6</f>
        <v>1.42625</v>
      </c>
      <c r="L17" s="22" t="n">
        <f aca="false">K17*(1-Annahmen!$B$20)+L11*Annahmen!$B$15*L6</f>
        <v>1.81851861671491</v>
      </c>
      <c r="M17" s="22" t="n">
        <f aca="false">L17*(1-Annahmen!$B$20)+M11*Annahmen!$B$15*M6</f>
        <v>2.12264324572908</v>
      </c>
      <c r="N17" s="22" t="n">
        <f aca="false">M17*(1-Annahmen!$B$20)+N11*Annahmen!$B$15*N6</f>
        <v>2.35814048777652</v>
      </c>
      <c r="O17" s="22" t="n">
        <f aca="false">N17*(1-Annahmen!$B$20)+O11*Annahmen!$B$15*O6</f>
        <v>2.54021358663585</v>
      </c>
      <c r="P17" s="22" t="n">
        <f aca="false">O17*(1-Annahmen!$B$20)+P11*Annahmen!$B$15*P6</f>
        <v>2.68070548836778</v>
      </c>
      <c r="Q17" s="22" t="n">
        <f aca="false">P17*(1-Annahmen!$B$20)+Q11*Annahmen!$B$15*Q6</f>
        <v>2.78884132432407</v>
      </c>
      <c r="R17" s="22" t="n">
        <f aca="false">Q17*(1-Annahmen!$B$20)+R11*Annahmen!$B$15*R6</f>
        <v>2.87180684401657</v>
      </c>
      <c r="S17" s="22" t="n">
        <f aca="false">R17*(1-Annahmen!$B$20)+S11*Annahmen!$B$15*S6</f>
        <v>2.93519904416539</v>
      </c>
      <c r="T17" s="22" t="n">
        <f aca="false">S17*(1-Annahmen!$B$20)+T11*Annahmen!$B$15*T6</f>
        <v>2.9833772317526</v>
      </c>
      <c r="U17" s="22" t="n">
        <f aca="false">T17*(1-Annahmen!$B$20)+U11*Annahmen!$B$15*U6</f>
        <v>3.01973651986239</v>
      </c>
      <c r="V17" s="22" t="n">
        <f aca="false">U17*(1-Annahmen!$B$20)+V11*Annahmen!$B$15*V6</f>
        <v>3.0469208945376</v>
      </c>
      <c r="W17" s="22" t="n">
        <f aca="false">V17*(1-Annahmen!$B$20)+W11*Annahmen!$B$15*W6</f>
        <v>3.06698920425201</v>
      </c>
      <c r="X17" s="22" t="n">
        <f aca="false">W17*(1-Annahmen!$B$20)+X11*Annahmen!$B$15*X6</f>
        <v>3.0815444736098</v>
      </c>
      <c r="Y17" s="22" t="n">
        <f aca="false">X17*(1-Annahmen!$B$20)+Y11*Annahmen!$B$15*Y6</f>
        <v>3.09183464468435</v>
      </c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customFormat="false" ht="15" hidden="false" customHeight="false" outlineLevel="0" collapsed="false">
      <c r="A19" s="7" t="s">
        <v>142</v>
      </c>
      <c r="B19" s="25" t="n">
        <f aca="false">B14*Annahmen!$B$6+B15*Annahmen!$B$7+B16*Annahmen!$B$9+B17*Annahmen!$B$10</f>
        <v>593</v>
      </c>
      <c r="C19" s="25" t="n">
        <f aca="false">C14*Annahmen!$B$6+C15*Annahmen!$B$7+C16*Annahmen!$B$9+C17*Annahmen!$B$10</f>
        <v>1172.63666666667</v>
      </c>
      <c r="D19" s="25" t="n">
        <f aca="false">D14*Annahmen!$B$6+D15*Annahmen!$B$7+D16*Annahmen!$B$9+D17*Annahmen!$B$10</f>
        <v>2332.22696666667</v>
      </c>
      <c r="E19" s="25" t="n">
        <f aca="false">E14*Annahmen!$B$6+E15*Annahmen!$B$7+E16*Annahmen!$B$9+E17*Annahmen!$B$10</f>
        <v>3465.716657</v>
      </c>
      <c r="F19" s="25" t="n">
        <f aca="false">F14*Annahmen!$B$6+F15*Annahmen!$B$7+F16*Annahmen!$B$9+F17*Annahmen!$B$10</f>
        <v>4573.72412243</v>
      </c>
      <c r="G19" s="25" t="n">
        <f aca="false">G14*Annahmen!$B$6+G15*Annahmen!$B$7+G16*Annahmen!$B$9+G17*Annahmen!$B$10</f>
        <v>5656.85239776303</v>
      </c>
      <c r="H19" s="25" t="n">
        <f aca="false">H14*Annahmen!$B$6+H15*Annahmen!$B$7+H16*Annahmen!$B$9+H17*Annahmen!$B$10</f>
        <v>6715.68956522634</v>
      </c>
      <c r="I19" s="25" t="n">
        <f aca="false">I14*Annahmen!$B$6+I15*Annahmen!$B$7+I16*Annahmen!$B$9+I17*Annahmen!$B$10</f>
        <v>7849.30914117782</v>
      </c>
      <c r="J19" s="25" t="n">
        <f aca="false">J14*Annahmen!$B$6+J15*Annahmen!$B$7+J16*Annahmen!$B$9+J17*Annahmen!$B$10</f>
        <v>8946.70211910961</v>
      </c>
      <c r="K19" s="25" t="n">
        <f aca="false">K14*Annahmen!$B$6+K15*Annahmen!$B$7+K16*Annahmen!$B$9+K17*Annahmen!$B$10</f>
        <v>10009.2430192319</v>
      </c>
      <c r="L19" s="25" t="n">
        <f aca="false">L14*Annahmen!$B$6+L15*Annahmen!$B$7+L16*Annahmen!$B$9+L17*Annahmen!$B$10</f>
        <v>10944.6873469234</v>
      </c>
      <c r="M19" s="25" t="n">
        <f aca="false">M14*Annahmen!$B$6+M15*Annahmen!$B$7+M16*Annahmen!$B$9+M17*Annahmen!$B$10</f>
        <v>11674.6982181514</v>
      </c>
      <c r="N19" s="25" t="n">
        <f aca="false">N14*Annahmen!$B$6+N15*Annahmen!$B$7+N16*Annahmen!$B$9+N17*Annahmen!$B$10</f>
        <v>12244.6452940386</v>
      </c>
      <c r="O19" s="25" t="n">
        <f aca="false">O14*Annahmen!$B$6+O15*Annahmen!$B$7+O16*Annahmen!$B$9+O17*Annahmen!$B$10</f>
        <v>12689.8743687444</v>
      </c>
      <c r="P19" s="25" t="n">
        <f aca="false">P14*Annahmen!$B$6+P15*Annahmen!$B$7+P16*Annahmen!$B$9+P17*Annahmen!$B$10</f>
        <v>13037.922097334</v>
      </c>
      <c r="Q19" s="25" t="n">
        <f aca="false">Q14*Annahmen!$B$6+Q15*Annahmen!$B$7+Q16*Annahmen!$B$9+Q17*Annahmen!$B$10</f>
        <v>13310.2413878708</v>
      </c>
      <c r="R19" s="25" t="n">
        <f aca="false">R14*Annahmen!$B$6+R15*Annahmen!$B$7+R16*Annahmen!$B$9+R17*Annahmen!$B$10</f>
        <v>13523.5455746681</v>
      </c>
      <c r="S19" s="25" t="n">
        <f aca="false">S14*Annahmen!$B$6+S15*Annahmen!$B$7+S16*Annahmen!$B$9+S17*Annahmen!$B$10</f>
        <v>13690.8556015951</v>
      </c>
      <c r="T19" s="25" t="n">
        <f aca="false">T14*Annahmen!$B$6+T15*Annahmen!$B$7+T16*Annahmen!$B$9+T17*Annahmen!$B$10</f>
        <v>13822.3158342699</v>
      </c>
      <c r="U19" s="25" t="n">
        <f aca="false">U14*Annahmen!$B$6+U15*Annahmen!$B$7+U16*Annahmen!$B$9+U17*Annahmen!$B$10</f>
        <v>13925.8296217304</v>
      </c>
      <c r="V19" s="25" t="n">
        <f aca="false">V14*Annahmen!$B$6+V15*Annahmen!$B$7+V16*Annahmen!$B$9+V17*Annahmen!$B$10</f>
        <v>14007.5544332701</v>
      </c>
      <c r="W19" s="25" t="n">
        <f aca="false">W14*Annahmen!$B$6+W15*Annahmen!$B$7+W16*Annahmen!$B$9+W17*Annahmen!$B$10</f>
        <v>14072.2875967845</v>
      </c>
      <c r="X19" s="25" t="n">
        <f aca="false">X14*Annahmen!$B$6+X15*Annahmen!$B$7+X16*Annahmen!$B$9+X17*Annahmen!$B$10</f>
        <v>14123.7668098182</v>
      </c>
      <c r="Y19" s="25" t="n">
        <f aca="false">Y14*Annahmen!$B$6+Y15*Annahmen!$B$7+Y16*Annahmen!$B$9+Y17*Annahmen!$B$10</f>
        <v>14164.9042539678</v>
      </c>
    </row>
    <row r="20" customFormat="false" ht="15" hidden="false" customHeight="false" outlineLevel="0" collapsed="false">
      <c r="A20" s="5" t="s">
        <v>143</v>
      </c>
      <c r="B20" s="26" t="n">
        <f aca="false">B11*(Annahmen!$B$12/(1-Annahmen!$B$15*(1-B6))*Annahmen!$B$5+Annahmen!$B$13/(1-Annahmen!$B$15*(1-B6))*Annahmen!$B$8+Annahmen!$B$15*B6*Annahmen!$B$11)</f>
        <v>1230</v>
      </c>
      <c r="C20" s="26" t="n">
        <f aca="false">C11*(Annahmen!$B$12/(1-Annahmen!$B$15*(1-C6))*Annahmen!$B$5+Annahmen!$B$13/(1-Annahmen!$B$15*(1-C6))*Annahmen!$B$8+Annahmen!$B$15*C6*Annahmen!$B$11)</f>
        <v>1230</v>
      </c>
      <c r="D20" s="26" t="n">
        <f aca="false">D11*(Annahmen!$B$12/(1-Annahmen!$B$15*(1-D6))*Annahmen!$B$5+Annahmen!$B$13/(1-Annahmen!$B$15*(1-D6))*Annahmen!$B$8+Annahmen!$B$15*D6*Annahmen!$B$11)</f>
        <v>2460</v>
      </c>
      <c r="E20" s="26" t="n">
        <f aca="false">E11*(Annahmen!$B$12/(1-Annahmen!$B$15*(1-E6))*Annahmen!$B$5+Annahmen!$B$13/(1-Annahmen!$B$15*(1-E6))*Annahmen!$B$8+Annahmen!$B$15*E6*Annahmen!$B$11)</f>
        <v>2460</v>
      </c>
      <c r="F20" s="26" t="n">
        <f aca="false">F11*(Annahmen!$B$12/(1-Annahmen!$B$15*(1-F6))*Annahmen!$B$5+Annahmen!$B$13/(1-Annahmen!$B$15*(1-F6))*Annahmen!$B$8+Annahmen!$B$15*F6*Annahmen!$B$11)</f>
        <v>2460</v>
      </c>
      <c r="G20" s="26" t="n">
        <f aca="false">G11*(Annahmen!$B$12/(1-Annahmen!$B$15*(1-G6))*Annahmen!$B$5+Annahmen!$B$13/(1-Annahmen!$B$15*(1-G6))*Annahmen!$B$8+Annahmen!$B$15*G6*Annahmen!$B$11)</f>
        <v>2460</v>
      </c>
      <c r="H20" s="26" t="n">
        <f aca="false">H11*(Annahmen!$B$12/(1-Annahmen!$B$15*(1-H6))*Annahmen!$B$5+Annahmen!$B$13/(1-Annahmen!$B$15*(1-H6))*Annahmen!$B$8+Annahmen!$B$15*H6*Annahmen!$B$11)</f>
        <v>2460</v>
      </c>
      <c r="I20" s="26" t="n">
        <f aca="false">I11*(Annahmen!$B$12/(1-Annahmen!$B$15*(1-I6))*Annahmen!$B$5+Annahmen!$B$13/(1-Annahmen!$B$15*(1-I6))*Annahmen!$B$8+Annahmen!$B$15*I6*Annahmen!$B$11)</f>
        <v>2590</v>
      </c>
      <c r="J20" s="26" t="n">
        <f aca="false">J11*(Annahmen!$B$12/(1-Annahmen!$B$15*(1-J6))*Annahmen!$B$5+Annahmen!$B$13/(1-Annahmen!$B$15*(1-J6))*Annahmen!$B$8+Annahmen!$B$15*J6*Annahmen!$B$11)</f>
        <v>2590</v>
      </c>
      <c r="K20" s="26" t="n">
        <f aca="false">K11*(Annahmen!$B$12/(1-Annahmen!$B$15*(1-K6))*Annahmen!$B$5+Annahmen!$B$13/(1-Annahmen!$B$15*(1-K6))*Annahmen!$B$8+Annahmen!$B$15*K6*Annahmen!$B$11)</f>
        <v>2590</v>
      </c>
      <c r="L20" s="26" t="n">
        <f aca="false">L11*(Annahmen!$B$12/(1-Annahmen!$B$15*(1-L6))*Annahmen!$B$5+Annahmen!$B$13/(1-Annahmen!$B$15*(1-L6))*Annahmen!$B$8+Annahmen!$B$15*L6*Annahmen!$B$11)</f>
        <v>2401.35018458324</v>
      </c>
      <c r="M20" s="26" t="n">
        <f aca="false">M11*(Annahmen!$B$12/(1-Annahmen!$B$15*(1-M6))*Annahmen!$B$5+Annahmen!$B$13/(1-Annahmen!$B$15*(1-M6))*Annahmen!$B$8+Annahmen!$B$15*M6*Annahmen!$B$11)</f>
        <v>2046.36190002258</v>
      </c>
      <c r="N20" s="26" t="n">
        <f aca="false">N11*(Annahmen!$B$12/(1-Annahmen!$B$15*(1-N6))*Annahmen!$B$5+Annahmen!$B$13/(1-Annahmen!$B$15*(1-N6))*Annahmen!$B$8+Annahmen!$B$15*N6*Annahmen!$B$11)</f>
        <v>1769.64031444956</v>
      </c>
      <c r="O20" s="26" t="n">
        <f aca="false">O11*(Annahmen!$B$12/(1-Annahmen!$B$15*(1-O6))*Annahmen!$B$5+Annahmen!$B$13/(1-Annahmen!$B$15*(1-O6))*Annahmen!$B$8+Annahmen!$B$15*O6*Annahmen!$B$11)</f>
        <v>1553.89703842543</v>
      </c>
      <c r="P20" s="26" t="n">
        <f aca="false">P11*(Annahmen!$B$12/(1-Annahmen!$B$15*(1-P6))*Annahmen!$B$5+Annahmen!$B$13/(1-Annahmen!$B$15*(1-P6))*Annahmen!$B$8+Annahmen!$B$15*P6*Annahmen!$B$11)</f>
        <v>1385.66336991012</v>
      </c>
      <c r="Q20" s="26" t="n">
        <f aca="false">Q11*(Annahmen!$B$12/(1-Annahmen!$B$15*(1-Q6))*Annahmen!$B$5+Annahmen!$B$13/(1-Annahmen!$B$15*(1-Q6))*Annahmen!$B$8+Annahmen!$B$15*Q6*Annahmen!$B$11)</f>
        <v>1254.44635174084</v>
      </c>
      <c r="R20" s="26" t="n">
        <f aca="false">R11*(Annahmen!$B$12/(1-Annahmen!$B$15*(1-R6))*Annahmen!$B$5+Annahmen!$B$13/(1-Annahmen!$B$15*(1-R6))*Annahmen!$B$8+Annahmen!$B$15*R6*Annahmen!$B$11)</f>
        <v>1152.07129500706</v>
      </c>
      <c r="S20" s="26" t="n">
        <f aca="false">S11*(Annahmen!$B$12/(1-Annahmen!$B$15*(1-S6))*Annahmen!$B$5+Annahmen!$B$13/(1-Annahmen!$B$15*(1-S6))*Annahmen!$B$8+Annahmen!$B$15*S6*Annahmen!$B$11)</f>
        <v>1072.16956937119</v>
      </c>
      <c r="T20" s="26" t="n">
        <f aca="false">T11*(Annahmen!$B$12/(1-Annahmen!$B$15*(1-T6))*Annahmen!$B$5+Annahmen!$B$13/(1-Annahmen!$B$15*(1-T6))*Annahmen!$B$8+Annahmen!$B$15*T6*Annahmen!$B$11)</f>
        <v>1009.77956414058</v>
      </c>
      <c r="U20" s="26" t="n">
        <f aca="false">U11*(Annahmen!$B$12/(1-Annahmen!$B$15*(1-U6))*Annahmen!$B$5+Annahmen!$B$13/(1-Annahmen!$B$15*(1-U6))*Annahmen!$B$8+Annahmen!$B$15*U6*Annahmen!$B$11)</f>
        <v>961.035815432644</v>
      </c>
      <c r="V20" s="26" t="n">
        <f aca="false">V11*(Annahmen!$B$12/(1-Annahmen!$B$15*(1-V6))*Annahmen!$B$5+Annahmen!$B$13/(1-Annahmen!$B$15*(1-V6))*Annahmen!$B$8+Annahmen!$B$15*V6*Annahmen!$B$11)</f>
        <v>922.926819461943</v>
      </c>
      <c r="W20" s="26" t="n">
        <f aca="false">W11*(Annahmen!$B$12/(1-Annahmen!$B$15*(1-W6))*Annahmen!$B$5+Annahmen!$B$13/(1-Annahmen!$B$15*(1-W6))*Annahmen!$B$8+Annahmen!$B$15*W6*Annahmen!$B$11)</f>
        <v>893.106356005891</v>
      </c>
      <c r="X20" s="26" t="n">
        <f aca="false">X11*(Annahmen!$B$12/(1-Annahmen!$B$15*(1-X6))*Annahmen!$B$5+Annahmen!$B$13/(1-Annahmen!$B$15*(1-X6))*Annahmen!$B$8+Annahmen!$B$15*X6*Annahmen!$B$11)</f>
        <v>869.746499174635</v>
      </c>
      <c r="Y20" s="26" t="n">
        <f aca="false">Y11*(Annahmen!$B$12/(1-Annahmen!$B$15*(1-Y6))*Annahmen!$B$5+Annahmen!$B$13/(1-Annahmen!$B$15*(1-Y6))*Annahmen!$B$8+Annahmen!$B$15*Y6*Annahmen!$B$11)</f>
        <v>851.4231048311</v>
      </c>
    </row>
    <row r="21" customFormat="false" ht="15" hidden="false" customHeight="false" outlineLevel="0" collapsed="false">
      <c r="A21" s="7" t="s">
        <v>144</v>
      </c>
      <c r="B21" s="25" t="n">
        <f aca="false">B19+B20</f>
        <v>1823</v>
      </c>
      <c r="C21" s="25" t="n">
        <f aca="false">C19+C20</f>
        <v>2402.63666666667</v>
      </c>
      <c r="D21" s="25" t="n">
        <f aca="false">D19+D20</f>
        <v>4792.22696666667</v>
      </c>
      <c r="E21" s="25" t="n">
        <f aca="false">E19+E20</f>
        <v>5925.716657</v>
      </c>
      <c r="F21" s="25" t="n">
        <f aca="false">F19+F20</f>
        <v>7033.72412243</v>
      </c>
      <c r="G21" s="25" t="n">
        <f aca="false">G19+G20</f>
        <v>8116.85239776303</v>
      </c>
      <c r="H21" s="25" t="n">
        <f aca="false">H19+H20</f>
        <v>9175.68956522634</v>
      </c>
      <c r="I21" s="25" t="n">
        <f aca="false">I19+I20</f>
        <v>10439.3091411778</v>
      </c>
      <c r="J21" s="25" t="n">
        <f aca="false">J19+J20</f>
        <v>11536.7021191096</v>
      </c>
      <c r="K21" s="25" t="n">
        <f aca="false">K19+K20</f>
        <v>12599.2430192319</v>
      </c>
      <c r="L21" s="25" t="n">
        <f aca="false">L19+L20</f>
        <v>13346.0375315066</v>
      </c>
      <c r="M21" s="25" t="n">
        <f aca="false">M19+M20</f>
        <v>13721.0601181739</v>
      </c>
      <c r="N21" s="25" t="n">
        <f aca="false">N19+N20</f>
        <v>14014.2856084881</v>
      </c>
      <c r="O21" s="25" t="n">
        <f aca="false">O19+O20</f>
        <v>14243.7714071699</v>
      </c>
      <c r="P21" s="25" t="n">
        <f aca="false">P19+P20</f>
        <v>14423.5854672442</v>
      </c>
      <c r="Q21" s="25" t="n">
        <f aca="false">Q19+Q20</f>
        <v>14564.6877396117</v>
      </c>
      <c r="R21" s="25" t="n">
        <f aca="false">R19+R20</f>
        <v>14675.6168696752</v>
      </c>
      <c r="S21" s="25" t="n">
        <f aca="false">S19+S20</f>
        <v>14763.0251709663</v>
      </c>
      <c r="T21" s="25" t="n">
        <f aca="false">T19+T20</f>
        <v>14832.0953984105</v>
      </c>
      <c r="U21" s="25" t="n">
        <f aca="false">U19+U20</f>
        <v>14886.865437163</v>
      </c>
      <c r="V21" s="25" t="n">
        <f aca="false">V19+V20</f>
        <v>14930.481252732</v>
      </c>
      <c r="W21" s="25" t="n">
        <f aca="false">W19+W20</f>
        <v>14965.3939527904</v>
      </c>
      <c r="X21" s="25" t="n">
        <f aca="false">X19+X20</f>
        <v>14993.5133089928</v>
      </c>
      <c r="Y21" s="25" t="n">
        <f aca="false">Y19+Y20</f>
        <v>15016.3273587989</v>
      </c>
    </row>
    <row r="22" customFormat="false" ht="15" hidden="false" customHeight="false" outlineLevel="0" collapsed="false">
      <c r="A22" s="5" t="s">
        <v>145</v>
      </c>
      <c r="B22" s="26" t="n">
        <f aca="false">Annahmen!$B$42+Annahmen!$B$43+B7*Annahmen!$B$40</f>
        <v>355</v>
      </c>
      <c r="C22" s="26" t="n">
        <f aca="false">Annahmen!$B$42+Annahmen!$B$43+C7*Annahmen!$B$40</f>
        <v>355</v>
      </c>
      <c r="D22" s="26" t="n">
        <f aca="false">Annahmen!$B$42+Annahmen!$B$43+D7*Annahmen!$B$40</f>
        <v>355</v>
      </c>
      <c r="E22" s="26" t="n">
        <f aca="false">Annahmen!$B$42+Annahmen!$B$43+E7*Annahmen!$B$40</f>
        <v>355</v>
      </c>
      <c r="F22" s="26" t="n">
        <f aca="false">Annahmen!$B$42+Annahmen!$B$43+F7*Annahmen!$B$40</f>
        <v>355</v>
      </c>
      <c r="G22" s="26" t="n">
        <f aca="false">Annahmen!$B$42+Annahmen!$B$43+G7*Annahmen!$B$40</f>
        <v>355</v>
      </c>
      <c r="H22" s="26" t="n">
        <f aca="false">Annahmen!$B$42+Annahmen!$B$43+H7*Annahmen!$B$40</f>
        <v>355</v>
      </c>
      <c r="I22" s="26" t="n">
        <f aca="false">Annahmen!$B$42+Annahmen!$B$43+I7*Annahmen!$B$40</f>
        <v>355</v>
      </c>
      <c r="J22" s="26" t="n">
        <f aca="false">Annahmen!$B$42+Annahmen!$B$43+J7*Annahmen!$B$40</f>
        <v>355</v>
      </c>
      <c r="K22" s="26" t="n">
        <f aca="false">Annahmen!$B$42+Annahmen!$B$43+K7*Annahmen!$B$40</f>
        <v>355</v>
      </c>
      <c r="L22" s="26" t="n">
        <f aca="false">Annahmen!$B$42+Annahmen!$B$43+L7*Annahmen!$B$40</f>
        <v>355</v>
      </c>
      <c r="M22" s="26" t="n">
        <f aca="false">Annahmen!$B$42+Annahmen!$B$43+M7*Annahmen!$B$40</f>
        <v>355</v>
      </c>
      <c r="N22" s="26" t="n">
        <f aca="false">Annahmen!$B$42+Annahmen!$B$43+N7*Annahmen!$B$40</f>
        <v>355</v>
      </c>
      <c r="O22" s="26" t="n">
        <f aca="false">Annahmen!$B$42+Annahmen!$B$43+O7*Annahmen!$B$40</f>
        <v>355</v>
      </c>
      <c r="P22" s="26" t="n">
        <f aca="false">Annahmen!$B$42+Annahmen!$B$43+P7*Annahmen!$B$40</f>
        <v>355</v>
      </c>
      <c r="Q22" s="26" t="n">
        <f aca="false">Annahmen!$B$42+Annahmen!$B$43+Q7*Annahmen!$B$40</f>
        <v>355</v>
      </c>
      <c r="R22" s="26" t="n">
        <f aca="false">Annahmen!$B$42+Annahmen!$B$43+R7*Annahmen!$B$40</f>
        <v>355</v>
      </c>
      <c r="S22" s="26" t="n">
        <f aca="false">Annahmen!$B$42+Annahmen!$B$43+S7*Annahmen!$B$40</f>
        <v>355</v>
      </c>
      <c r="T22" s="26" t="n">
        <f aca="false">Annahmen!$B$42+Annahmen!$B$43+T7*Annahmen!$B$40</f>
        <v>355</v>
      </c>
      <c r="U22" s="26" t="n">
        <f aca="false">Annahmen!$B$42+Annahmen!$B$43+U7*Annahmen!$B$40</f>
        <v>355</v>
      </c>
      <c r="V22" s="26" t="n">
        <f aca="false">Annahmen!$B$42+Annahmen!$B$43+V7*Annahmen!$B$40</f>
        <v>355</v>
      </c>
      <c r="W22" s="26" t="n">
        <f aca="false">Annahmen!$B$42+Annahmen!$B$43+W7*Annahmen!$B$40</f>
        <v>355</v>
      </c>
      <c r="X22" s="26" t="n">
        <f aca="false">Annahmen!$B$42+Annahmen!$B$43+X7*Annahmen!$B$40</f>
        <v>355</v>
      </c>
      <c r="Y22" s="26" t="n">
        <f aca="false">Annahmen!$B$42+Annahmen!$B$43+Y7*Annahmen!$B$40</f>
        <v>355</v>
      </c>
    </row>
    <row r="23" customFormat="false" ht="15" hidden="false" customHeight="false" outlineLevel="0" collapsed="false">
      <c r="A23" s="7" t="s">
        <v>146</v>
      </c>
      <c r="B23" s="25" t="n">
        <f aca="false">B21-B22</f>
        <v>1468</v>
      </c>
      <c r="C23" s="25" t="n">
        <f aca="false">C21-C22</f>
        <v>2047.63666666667</v>
      </c>
      <c r="D23" s="25" t="n">
        <f aca="false">D21-D22</f>
        <v>4437.22696666667</v>
      </c>
      <c r="E23" s="25" t="n">
        <f aca="false">E21-E22</f>
        <v>5570.716657</v>
      </c>
      <c r="F23" s="25" t="n">
        <f aca="false">F21-F22</f>
        <v>6678.72412243</v>
      </c>
      <c r="G23" s="25" t="n">
        <f aca="false">G21-G22</f>
        <v>7761.85239776303</v>
      </c>
      <c r="H23" s="25" t="n">
        <f aca="false">H21-H22</f>
        <v>8820.68956522634</v>
      </c>
      <c r="I23" s="25" t="n">
        <f aca="false">I21-I22</f>
        <v>10084.3091411778</v>
      </c>
      <c r="J23" s="25" t="n">
        <f aca="false">J21-J22</f>
        <v>11181.7021191096</v>
      </c>
      <c r="K23" s="25" t="n">
        <f aca="false">K21-K22</f>
        <v>12244.2430192319</v>
      </c>
      <c r="L23" s="25" t="n">
        <f aca="false">L21-L22</f>
        <v>12991.0375315066</v>
      </c>
      <c r="M23" s="25" t="n">
        <f aca="false">M21-M22</f>
        <v>13366.0601181739</v>
      </c>
      <c r="N23" s="25" t="n">
        <f aca="false">N21-N22</f>
        <v>13659.2856084881</v>
      </c>
      <c r="O23" s="25" t="n">
        <f aca="false">O21-O22</f>
        <v>13888.7714071699</v>
      </c>
      <c r="P23" s="25" t="n">
        <f aca="false">P21-P22</f>
        <v>14068.5854672442</v>
      </c>
      <c r="Q23" s="25" t="n">
        <f aca="false">Q21-Q22</f>
        <v>14209.6877396117</v>
      </c>
      <c r="R23" s="25" t="n">
        <f aca="false">R21-R22</f>
        <v>14320.6168696752</v>
      </c>
      <c r="S23" s="25" t="n">
        <f aca="false">S21-S22</f>
        <v>14408.0251709663</v>
      </c>
      <c r="T23" s="25" t="n">
        <f aca="false">T21-T22</f>
        <v>14477.0953984105</v>
      </c>
      <c r="U23" s="25" t="n">
        <f aca="false">U21-U22</f>
        <v>14531.865437163</v>
      </c>
      <c r="V23" s="25" t="n">
        <f aca="false">V21-V22</f>
        <v>14575.481252732</v>
      </c>
      <c r="W23" s="25" t="n">
        <f aca="false">W21-W22</f>
        <v>14610.3939527904</v>
      </c>
      <c r="X23" s="25" t="n">
        <f aca="false">X21-X22</f>
        <v>14638.5133089928</v>
      </c>
      <c r="Y23" s="25" t="n">
        <f aca="false">Y21-Y22</f>
        <v>14661.3273587989</v>
      </c>
    </row>
    <row r="24" customFormat="false" ht="15" hidden="false" customHeight="false" outlineLevel="0" collapsed="false">
      <c r="A24" s="7" t="s">
        <v>147</v>
      </c>
      <c r="B24" s="16" t="n">
        <f aca="false">B23</f>
        <v>1468</v>
      </c>
      <c r="C24" s="16" t="n">
        <f aca="false">B24+C23</f>
        <v>3515.63666666667</v>
      </c>
      <c r="D24" s="16" t="n">
        <f aca="false">C24+D23</f>
        <v>7952.86363333333</v>
      </c>
      <c r="E24" s="16" t="n">
        <f aca="false">D24+E23</f>
        <v>13523.5802903333</v>
      </c>
      <c r="F24" s="16" t="n">
        <f aca="false">E24+F23</f>
        <v>20202.3044127633</v>
      </c>
      <c r="G24" s="16" t="n">
        <f aca="false">F24+G23</f>
        <v>27964.1568105264</v>
      </c>
      <c r="H24" s="16" t="n">
        <f aca="false">G24+H23</f>
        <v>36784.8463757527</v>
      </c>
      <c r="I24" s="16" t="n">
        <f aca="false">H24+I23</f>
        <v>46869.1555169305</v>
      </c>
      <c r="J24" s="16" t="n">
        <f aca="false">I24+J23</f>
        <v>58050.8576360401</v>
      </c>
      <c r="K24" s="16" t="n">
        <f aca="false">J24+K23</f>
        <v>70295.1006552721</v>
      </c>
      <c r="L24" s="16" t="n">
        <f aca="false">K24+L23</f>
        <v>83286.1381867787</v>
      </c>
      <c r="M24" s="16" t="n">
        <f aca="false">L24+M23</f>
        <v>96652.1983049527</v>
      </c>
      <c r="N24" s="16" t="n">
        <f aca="false">M24+N23</f>
        <v>110311.483913441</v>
      </c>
      <c r="O24" s="16" t="n">
        <f aca="false">N24+O23</f>
        <v>124200.255320611</v>
      </c>
      <c r="P24" s="16" t="n">
        <f aca="false">O24+P23</f>
        <v>138268.840787855</v>
      </c>
      <c r="Q24" s="16" t="n">
        <f aca="false">P24+Q23</f>
        <v>152478.528527466</v>
      </c>
      <c r="R24" s="16" t="n">
        <f aca="false">Q24+R23</f>
        <v>166799.145397142</v>
      </c>
      <c r="S24" s="16" t="n">
        <f aca="false">R24+S23</f>
        <v>181207.170568108</v>
      </c>
      <c r="T24" s="16" t="n">
        <f aca="false">S24+T23</f>
        <v>195684.265966518</v>
      </c>
      <c r="U24" s="16" t="n">
        <f aca="false">T24+U23</f>
        <v>210216.131403682</v>
      </c>
      <c r="V24" s="16" t="n">
        <f aca="false">U24+V23</f>
        <v>224791.612656414</v>
      </c>
      <c r="W24" s="16" t="n">
        <f aca="false">V24+W23</f>
        <v>239402.006609204</v>
      </c>
      <c r="X24" s="16" t="n">
        <f aca="false">W24+X23</f>
        <v>254040.519918197</v>
      </c>
      <c r="Y24" s="16" t="n">
        <f aca="false">X24+Y23</f>
        <v>268701.847276996</v>
      </c>
    </row>
    <row r="25" customFormat="false" ht="15" hidden="false" customHeight="false" outlineLevel="0" collapsed="false">
      <c r="A25" s="5" t="s">
        <v>148</v>
      </c>
      <c r="B25" s="22" t="n">
        <f aca="false">B9+B11*B8</f>
        <v>37.0833333333333</v>
      </c>
      <c r="C25" s="22" t="n">
        <f aca="false">C9+C11*C8</f>
        <v>43.5</v>
      </c>
      <c r="D25" s="22" t="n">
        <f aca="false">D9+D11*D8</f>
        <v>86.8525</v>
      </c>
      <c r="E25" s="22" t="n">
        <f aca="false">E9+E11*E8</f>
        <v>99.394375</v>
      </c>
      <c r="F25" s="22" t="n">
        <f aca="false">F9+F11*F8</f>
        <v>111.648244583333</v>
      </c>
      <c r="G25" s="22" t="n">
        <f aca="false">G9+G11*G8</f>
        <v>123.6210168975</v>
      </c>
      <c r="H25" s="22" t="n">
        <f aca="false">H9+H11*H8</f>
        <v>135.319427155858</v>
      </c>
      <c r="I25" s="22" t="n">
        <f aca="false">I9+I11*I8</f>
        <v>141.708375476077</v>
      </c>
      <c r="J25" s="22" t="n">
        <f aca="false">J9+J11*J8</f>
        <v>153.169264597059</v>
      </c>
      <c r="K25" s="22" t="n">
        <f aca="false">K9+K11*K8</f>
        <v>164.273754144377</v>
      </c>
      <c r="L25" s="22" t="n">
        <f aca="false">L9+L11*L8</f>
        <v>170</v>
      </c>
      <c r="M25" s="22" t="n">
        <f aca="false">M9+M11*M8</f>
        <v>170</v>
      </c>
      <c r="N25" s="22" t="n">
        <f aca="false">N9+N11*N8</f>
        <v>170</v>
      </c>
      <c r="O25" s="22" t="n">
        <f aca="false">O9+O11*O8</f>
        <v>170</v>
      </c>
      <c r="P25" s="22" t="n">
        <f aca="false">P9+P11*P8</f>
        <v>170</v>
      </c>
      <c r="Q25" s="22" t="n">
        <f aca="false">Q9+Q11*Q8</f>
        <v>170</v>
      </c>
      <c r="R25" s="22" t="n">
        <f aca="false">R9+R11*R8</f>
        <v>170</v>
      </c>
      <c r="S25" s="22" t="n">
        <f aca="false">S9+S11*S8</f>
        <v>170</v>
      </c>
      <c r="T25" s="22" t="n">
        <f aca="false">T9+T11*T8</f>
        <v>170</v>
      </c>
      <c r="U25" s="22" t="n">
        <f aca="false">U9+U11*U8</f>
        <v>170</v>
      </c>
      <c r="V25" s="22" t="n">
        <f aca="false">V9+V11*V8</f>
        <v>170</v>
      </c>
      <c r="W25" s="22" t="n">
        <f aca="false">W9+W11*W8</f>
        <v>170</v>
      </c>
      <c r="X25" s="22" t="n">
        <f aca="false">X9+X11*X8</f>
        <v>170</v>
      </c>
      <c r="Y25" s="22" t="n">
        <f aca="false">Y9+Y11*Y8</f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5" min="2" style="0" width="10"/>
  </cols>
  <sheetData>
    <row r="1" customFormat="false" ht="17.35" hidden="false" customHeight="false" outlineLevel="0" collapsed="false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" hidden="false" customHeight="false" outlineLevel="0" collapsed="false">
      <c r="A2" s="3" t="s">
        <v>128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5" hidden="false" customHeight="false" outlineLevel="0" collapsed="false">
      <c r="A4" s="4" t="s">
        <v>129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4" t="s">
        <v>35</v>
      </c>
      <c r="M4" s="4" t="s">
        <v>36</v>
      </c>
      <c r="N4" s="4" t="s">
        <v>37</v>
      </c>
      <c r="O4" s="4" t="s">
        <v>38</v>
      </c>
      <c r="P4" s="4" t="s">
        <v>39</v>
      </c>
      <c r="Q4" s="4" t="s">
        <v>40</v>
      </c>
      <c r="R4" s="4" t="s">
        <v>41</v>
      </c>
      <c r="S4" s="4" t="s">
        <v>42</v>
      </c>
      <c r="T4" s="4" t="s">
        <v>43</v>
      </c>
      <c r="U4" s="4" t="s">
        <v>44</v>
      </c>
      <c r="V4" s="4" t="s">
        <v>45</v>
      </c>
      <c r="W4" s="4" t="s">
        <v>46</v>
      </c>
      <c r="X4" s="4" t="s">
        <v>47</v>
      </c>
      <c r="Y4" s="4" t="s">
        <v>48</v>
      </c>
    </row>
    <row r="5" customFormat="false" ht="15" hidden="false" customHeight="false" outlineLevel="0" collapsed="false">
      <c r="A5" s="5" t="s">
        <v>130</v>
      </c>
      <c r="B5" s="22" t="n">
        <f aca="false">Annahmen!$B$48</f>
        <v>1</v>
      </c>
      <c r="C5" s="22" t="n">
        <f aca="false">Annahmen!$B$48</f>
        <v>1</v>
      </c>
      <c r="D5" s="22" t="n">
        <f aca="false">Annahmen!$B$49</f>
        <v>2</v>
      </c>
      <c r="E5" s="22" t="n">
        <f aca="false">Annahmen!$B$49</f>
        <v>2</v>
      </c>
      <c r="F5" s="22" t="n">
        <f aca="false">Annahmen!$B$49</f>
        <v>2</v>
      </c>
      <c r="G5" s="22" t="n">
        <f aca="false">Annahmen!$B$49</f>
        <v>2</v>
      </c>
      <c r="H5" s="22" t="n">
        <f aca="false">Annahmen!$B$49</f>
        <v>2</v>
      </c>
      <c r="I5" s="22" t="n">
        <f aca="false">Annahmen!$B$49</f>
        <v>2</v>
      </c>
      <c r="J5" s="22" t="n">
        <f aca="false">Annahmen!$B$49</f>
        <v>2</v>
      </c>
      <c r="K5" s="22" t="n">
        <f aca="false">Annahmen!$B$49</f>
        <v>2</v>
      </c>
      <c r="L5" s="22" t="n">
        <f aca="false">Annahmen!$B$49</f>
        <v>2</v>
      </c>
      <c r="M5" s="22" t="n">
        <f aca="false">Annahmen!$B$49</f>
        <v>2</v>
      </c>
      <c r="N5" s="22" t="n">
        <f aca="false">Annahmen!$B$49</f>
        <v>2</v>
      </c>
      <c r="O5" s="22" t="n">
        <f aca="false">Annahmen!$B$49</f>
        <v>2</v>
      </c>
      <c r="P5" s="22" t="n">
        <f aca="false">Annahmen!$B$49</f>
        <v>2</v>
      </c>
      <c r="Q5" s="22" t="n">
        <f aca="false">Annahmen!$B$49</f>
        <v>2</v>
      </c>
      <c r="R5" s="22" t="n">
        <f aca="false">Annahmen!$B$49</f>
        <v>2</v>
      </c>
      <c r="S5" s="22" t="n">
        <f aca="false">Annahmen!$B$49</f>
        <v>2</v>
      </c>
      <c r="T5" s="22" t="n">
        <f aca="false">Annahmen!$B$49</f>
        <v>2</v>
      </c>
      <c r="U5" s="22" t="n">
        <f aca="false">Annahmen!$B$49</f>
        <v>2</v>
      </c>
      <c r="V5" s="22" t="n">
        <f aca="false">Annahmen!$B$49</f>
        <v>2</v>
      </c>
      <c r="W5" s="22" t="n">
        <f aca="false">Annahmen!$B$49</f>
        <v>2</v>
      </c>
      <c r="X5" s="22" t="n">
        <f aca="false">Annahmen!$B$49</f>
        <v>2</v>
      </c>
      <c r="Y5" s="22" t="n">
        <f aca="false">Annahmen!$B$49</f>
        <v>2</v>
      </c>
    </row>
    <row r="6" customFormat="false" ht="15" hidden="false" customHeight="false" outlineLevel="0" collapsed="false">
      <c r="A6" s="5" t="s">
        <v>131</v>
      </c>
      <c r="B6" s="23" t="n">
        <f aca="false">IF(1&gt;=Annahmen!$B$16,1,0)</f>
        <v>0</v>
      </c>
      <c r="C6" s="23" t="n">
        <f aca="false">IF(2&gt;=Annahmen!$B$16,1,0)</f>
        <v>0</v>
      </c>
      <c r="D6" s="23" t="n">
        <f aca="false">IF(3&gt;=Annahmen!$B$16,1,0)</f>
        <v>0</v>
      </c>
      <c r="E6" s="23" t="n">
        <f aca="false">IF(4&gt;=Annahmen!$B$16,1,0)</f>
        <v>0</v>
      </c>
      <c r="F6" s="23" t="n">
        <f aca="false">IF(5&gt;=Annahmen!$B$16,1,0)</f>
        <v>0</v>
      </c>
      <c r="G6" s="23" t="n">
        <f aca="false">IF(6&gt;=Annahmen!$B$16,1,0)</f>
        <v>0</v>
      </c>
      <c r="H6" s="23" t="n">
        <f aca="false">IF(7&gt;=Annahmen!$B$16,1,0)</f>
        <v>0</v>
      </c>
      <c r="I6" s="23" t="n">
        <f aca="false">IF(8&gt;=Annahmen!$B$16,1,0)</f>
        <v>1</v>
      </c>
      <c r="J6" s="23" t="n">
        <f aca="false">IF(9&gt;=Annahmen!$B$16,1,0)</f>
        <v>1</v>
      </c>
      <c r="K6" s="23" t="n">
        <f aca="false">IF(10&gt;=Annahmen!$B$16,1,0)</f>
        <v>1</v>
      </c>
      <c r="L6" s="23" t="n">
        <f aca="false">IF(11&gt;=Annahmen!$B$16,1,0)</f>
        <v>1</v>
      </c>
      <c r="M6" s="23" t="n">
        <f aca="false">IF(12&gt;=Annahmen!$B$16,1,0)</f>
        <v>1</v>
      </c>
      <c r="N6" s="23" t="n">
        <f aca="false">IF(13&gt;=Annahmen!$B$16,1,0)</f>
        <v>1</v>
      </c>
      <c r="O6" s="23" t="n">
        <f aca="false">IF(14&gt;=Annahmen!$B$16,1,0)</f>
        <v>1</v>
      </c>
      <c r="P6" s="23" t="n">
        <f aca="false">IF(15&gt;=Annahmen!$B$16,1,0)</f>
        <v>1</v>
      </c>
      <c r="Q6" s="23" t="n">
        <f aca="false">IF(16&gt;=Annahmen!$B$16,1,0)</f>
        <v>1</v>
      </c>
      <c r="R6" s="23" t="n">
        <f aca="false">IF(17&gt;=Annahmen!$B$16,1,0)</f>
        <v>1</v>
      </c>
      <c r="S6" s="23" t="n">
        <f aca="false">IF(18&gt;=Annahmen!$B$16,1,0)</f>
        <v>1</v>
      </c>
      <c r="T6" s="23" t="n">
        <f aca="false">IF(19&gt;=Annahmen!$B$16,1,0)</f>
        <v>1</v>
      </c>
      <c r="U6" s="23" t="n">
        <f aca="false">IF(20&gt;=Annahmen!$B$16,1,0)</f>
        <v>1</v>
      </c>
      <c r="V6" s="23" t="n">
        <f aca="false">IF(21&gt;=Annahmen!$B$16,1,0)</f>
        <v>1</v>
      </c>
      <c r="W6" s="23" t="n">
        <f aca="false">IF(22&gt;=Annahmen!$B$16,1,0)</f>
        <v>1</v>
      </c>
      <c r="X6" s="23" t="n">
        <f aca="false">IF(23&gt;=Annahmen!$B$16,1,0)</f>
        <v>1</v>
      </c>
      <c r="Y6" s="23" t="n">
        <f aca="false">IF(24&gt;=Annahmen!$B$16,1,0)</f>
        <v>1</v>
      </c>
    </row>
    <row r="7" customFormat="false" ht="15" hidden="false" customHeight="false" outlineLevel="0" collapsed="false">
      <c r="A7" s="5" t="s">
        <v>132</v>
      </c>
      <c r="B7" s="23" t="n">
        <f aca="false">IF(0&gt;=Annahmen!$B$39-1,1,0)</f>
        <v>0</v>
      </c>
      <c r="C7" s="23" t="n">
        <f aca="false">IF(B12&gt;=Annahmen!$B$39-1,1,0)</f>
        <v>0</v>
      </c>
      <c r="D7" s="23" t="n">
        <f aca="false">IF(C12&gt;=Annahmen!$B$39-1,1,0)</f>
        <v>0</v>
      </c>
      <c r="E7" s="23" t="n">
        <f aca="false">IF(D12&gt;=Annahmen!$B$39-1,1,0)</f>
        <v>1</v>
      </c>
      <c r="F7" s="23" t="n">
        <f aca="false">IF(E12&gt;=Annahmen!$B$39-1,1,0)</f>
        <v>1</v>
      </c>
      <c r="G7" s="23" t="n">
        <f aca="false">IF(F12&gt;=Annahmen!$B$39-1,1,0)</f>
        <v>1</v>
      </c>
      <c r="H7" s="23" t="n">
        <f aca="false">IF(G12&gt;=Annahmen!$B$39-1,1,0)</f>
        <v>1</v>
      </c>
      <c r="I7" s="23" t="n">
        <f aca="false">IF(H12&gt;=Annahmen!$B$39-1,1,0)</f>
        <v>1</v>
      </c>
      <c r="J7" s="23" t="n">
        <f aca="false">IF(I12&gt;=Annahmen!$B$39-1,1,0)</f>
        <v>1</v>
      </c>
      <c r="K7" s="23" t="n">
        <f aca="false">IF(J12&gt;=Annahmen!$B$39-1,1,0)</f>
        <v>1</v>
      </c>
      <c r="L7" s="23" t="n">
        <f aca="false">IF(K12&gt;=Annahmen!$B$39-1,1,0)</f>
        <v>1</v>
      </c>
      <c r="M7" s="23" t="n">
        <f aca="false">IF(L12&gt;=Annahmen!$B$39-1,1,0)</f>
        <v>1</v>
      </c>
      <c r="N7" s="23" t="n">
        <f aca="false">IF(M12&gt;=Annahmen!$B$39-1,1,0)</f>
        <v>1</v>
      </c>
      <c r="O7" s="23" t="n">
        <f aca="false">IF(N12&gt;=Annahmen!$B$39-1,1,0)</f>
        <v>1</v>
      </c>
      <c r="P7" s="23" t="n">
        <f aca="false">IF(O12&gt;=Annahmen!$B$39-1,1,0)</f>
        <v>1</v>
      </c>
      <c r="Q7" s="23" t="n">
        <f aca="false">IF(P12&gt;=Annahmen!$B$39-1,1,0)</f>
        <v>1</v>
      </c>
      <c r="R7" s="23" t="n">
        <f aca="false">IF(Q12&gt;=Annahmen!$B$39-1,1,0)</f>
        <v>1</v>
      </c>
      <c r="S7" s="23" t="n">
        <f aca="false">IF(R12&gt;=Annahmen!$B$39-1,1,0)</f>
        <v>1</v>
      </c>
      <c r="T7" s="23" t="n">
        <f aca="false">IF(S12&gt;=Annahmen!$B$39-1,1,0)</f>
        <v>1</v>
      </c>
      <c r="U7" s="23" t="n">
        <f aca="false">IF(T12&gt;=Annahmen!$B$39-1,1,0)</f>
        <v>1</v>
      </c>
      <c r="V7" s="23" t="n">
        <f aca="false">IF(U12&gt;=Annahmen!$B$39-1,1,0)</f>
        <v>1</v>
      </c>
      <c r="W7" s="23" t="n">
        <f aca="false">IF(V12&gt;=Annahmen!$B$39-1,1,0)</f>
        <v>1</v>
      </c>
      <c r="X7" s="23" t="n">
        <f aca="false">IF(W12&gt;=Annahmen!$B$39-1,1,0)</f>
        <v>1</v>
      </c>
      <c r="Y7" s="23" t="n">
        <f aca="false">IF(X12&gt;=Annahmen!$B$39-1,1,0)</f>
        <v>1</v>
      </c>
    </row>
    <row r="8" customFormat="false" ht="15" hidden="false" customHeight="false" outlineLevel="0" collapsed="false">
      <c r="A8" s="5" t="s">
        <v>133</v>
      </c>
      <c r="B8" s="22" t="n">
        <f aca="false">Annahmen!$B$12/(1-Annahmen!$B$15*(1-B6))*((Annahmen!$B$21+B7*(Annahmen!$B$30-Annahmen!$B$21))+(Annahmen!$B$25+B7*(Annahmen!$B$34-Annahmen!$B$25))+(Annahmen!$B$29+B7*(Annahmen!$B$38-Annahmen!$B$29)))+Annahmen!$B$13/(1-Annahmen!$B$15*(1-B6))*((Annahmen!$B$22+B7*(Annahmen!$B$31-Annahmen!$B$22))+(Annahmen!$B$26+B7*(Annahmen!$B$35-Annahmen!$B$26))+(Annahmen!$B$29+B7*(Annahmen!$B$38-Annahmen!$B$29)))+Annahmen!$B$14/(1-Annahmen!$B$15*(1-B6))*((Annahmen!$B$23+B7*(Annahmen!$B$32-Annahmen!$B$23))+(Annahmen!$B$27+B7*(Annahmen!$B$36-Annahmen!$B$27))+(Annahmen!$B$29+B7*(Annahmen!$B$38-Annahmen!$B$29)))+Annahmen!$B$15*B6*((Annahmen!$B$24+B7*(Annahmen!$B$33-Annahmen!$B$24))+(Annahmen!$B$28+B7*(Annahmen!$B$37-Annahmen!$B$28))+(Annahmen!$B$29+B7*(Annahmen!$B$38-Annahmen!$B$29)))</f>
        <v>37.0833333333333</v>
      </c>
      <c r="C8" s="22" t="n">
        <f aca="false">Annahmen!$B$12/(1-Annahmen!$B$15*(1-C6))*((Annahmen!$B$21+C7*(Annahmen!$B$30-Annahmen!$B$21))+(Annahmen!$B$25+C7*(Annahmen!$B$34-Annahmen!$B$25))+(Annahmen!$B$29+C7*(Annahmen!$B$38-Annahmen!$B$29)))+Annahmen!$B$13/(1-Annahmen!$B$15*(1-C6))*((Annahmen!$B$22+C7*(Annahmen!$B$31-Annahmen!$B$22))+(Annahmen!$B$26+C7*(Annahmen!$B$35-Annahmen!$B$26))+(Annahmen!$B$29+C7*(Annahmen!$B$38-Annahmen!$B$29)))+Annahmen!$B$14/(1-Annahmen!$B$15*(1-C6))*((Annahmen!$B$23+C7*(Annahmen!$B$32-Annahmen!$B$23))+(Annahmen!$B$27+C7*(Annahmen!$B$36-Annahmen!$B$27))+(Annahmen!$B$29+C7*(Annahmen!$B$38-Annahmen!$B$29)))+Annahmen!$B$15*C6*((Annahmen!$B$24+C7*(Annahmen!$B$33-Annahmen!$B$24))+(Annahmen!$B$28+C7*(Annahmen!$B$37-Annahmen!$B$28))+(Annahmen!$B$29+C7*(Annahmen!$B$38-Annahmen!$B$29)))</f>
        <v>37.0833333333333</v>
      </c>
      <c r="D8" s="22" t="n">
        <f aca="false">Annahmen!$B$12/(1-Annahmen!$B$15*(1-D6))*((Annahmen!$B$21+D7*(Annahmen!$B$30-Annahmen!$B$21))+(Annahmen!$B$25+D7*(Annahmen!$B$34-Annahmen!$B$25))+(Annahmen!$B$29+D7*(Annahmen!$B$38-Annahmen!$B$29)))+Annahmen!$B$13/(1-Annahmen!$B$15*(1-D6))*((Annahmen!$B$22+D7*(Annahmen!$B$31-Annahmen!$B$22))+(Annahmen!$B$26+D7*(Annahmen!$B$35-Annahmen!$B$26))+(Annahmen!$B$29+D7*(Annahmen!$B$38-Annahmen!$B$29)))+Annahmen!$B$14/(1-Annahmen!$B$15*(1-D6))*((Annahmen!$B$23+D7*(Annahmen!$B$32-Annahmen!$B$23))+(Annahmen!$B$27+D7*(Annahmen!$B$36-Annahmen!$B$27))+(Annahmen!$B$29+D7*(Annahmen!$B$38-Annahmen!$B$29)))+Annahmen!$B$15*D6*((Annahmen!$B$24+D7*(Annahmen!$B$33-Annahmen!$B$24))+(Annahmen!$B$28+D7*(Annahmen!$B$37-Annahmen!$B$28))+(Annahmen!$B$29+D7*(Annahmen!$B$38-Annahmen!$B$29)))</f>
        <v>37.0833333333333</v>
      </c>
      <c r="E8" s="22" t="n">
        <f aca="false">Annahmen!$B$12/(1-Annahmen!$B$15*(1-E6))*((Annahmen!$B$21+E7*(Annahmen!$B$30-Annahmen!$B$21))+(Annahmen!$B$25+E7*(Annahmen!$B$34-Annahmen!$B$25))+(Annahmen!$B$29+E7*(Annahmen!$B$38-Annahmen!$B$29)))+Annahmen!$B$13/(1-Annahmen!$B$15*(1-E6))*((Annahmen!$B$22+E7*(Annahmen!$B$31-Annahmen!$B$22))+(Annahmen!$B$26+E7*(Annahmen!$B$35-Annahmen!$B$26))+(Annahmen!$B$29+E7*(Annahmen!$B$38-Annahmen!$B$29)))+Annahmen!$B$14/(1-Annahmen!$B$15*(1-E6))*((Annahmen!$B$23+E7*(Annahmen!$B$32-Annahmen!$B$23))+(Annahmen!$B$27+E7*(Annahmen!$B$36-Annahmen!$B$27))+(Annahmen!$B$29+E7*(Annahmen!$B$38-Annahmen!$B$29)))+Annahmen!$B$15*E6*((Annahmen!$B$24+E7*(Annahmen!$B$33-Annahmen!$B$24))+(Annahmen!$B$28+E7*(Annahmen!$B$37-Annahmen!$B$28))+(Annahmen!$B$29+E7*(Annahmen!$B$38-Annahmen!$B$29)))</f>
        <v>19.0333333333333</v>
      </c>
      <c r="F8" s="22" t="n">
        <f aca="false">Annahmen!$B$12/(1-Annahmen!$B$15*(1-F6))*((Annahmen!$B$21+F7*(Annahmen!$B$30-Annahmen!$B$21))+(Annahmen!$B$25+F7*(Annahmen!$B$34-Annahmen!$B$25))+(Annahmen!$B$29+F7*(Annahmen!$B$38-Annahmen!$B$29)))+Annahmen!$B$13/(1-Annahmen!$B$15*(1-F6))*((Annahmen!$B$22+F7*(Annahmen!$B$31-Annahmen!$B$22))+(Annahmen!$B$26+F7*(Annahmen!$B$35-Annahmen!$B$26))+(Annahmen!$B$29+F7*(Annahmen!$B$38-Annahmen!$B$29)))+Annahmen!$B$14/(1-Annahmen!$B$15*(1-F6))*((Annahmen!$B$23+F7*(Annahmen!$B$32-Annahmen!$B$23))+(Annahmen!$B$27+F7*(Annahmen!$B$36-Annahmen!$B$27))+(Annahmen!$B$29+F7*(Annahmen!$B$38-Annahmen!$B$29)))+Annahmen!$B$15*F6*((Annahmen!$B$24+F7*(Annahmen!$B$33-Annahmen!$B$24))+(Annahmen!$B$28+F7*(Annahmen!$B$37-Annahmen!$B$28))+(Annahmen!$B$29+F7*(Annahmen!$B$38-Annahmen!$B$29)))</f>
        <v>19.0333333333333</v>
      </c>
      <c r="G8" s="22" t="n">
        <f aca="false">Annahmen!$B$12/(1-Annahmen!$B$15*(1-G6))*((Annahmen!$B$21+G7*(Annahmen!$B$30-Annahmen!$B$21))+(Annahmen!$B$25+G7*(Annahmen!$B$34-Annahmen!$B$25))+(Annahmen!$B$29+G7*(Annahmen!$B$38-Annahmen!$B$29)))+Annahmen!$B$13/(1-Annahmen!$B$15*(1-G6))*((Annahmen!$B$22+G7*(Annahmen!$B$31-Annahmen!$B$22))+(Annahmen!$B$26+G7*(Annahmen!$B$35-Annahmen!$B$26))+(Annahmen!$B$29+G7*(Annahmen!$B$38-Annahmen!$B$29)))+Annahmen!$B$14/(1-Annahmen!$B$15*(1-G6))*((Annahmen!$B$23+G7*(Annahmen!$B$32-Annahmen!$B$23))+(Annahmen!$B$27+G7*(Annahmen!$B$36-Annahmen!$B$27))+(Annahmen!$B$29+G7*(Annahmen!$B$38-Annahmen!$B$29)))+Annahmen!$B$15*G6*((Annahmen!$B$24+G7*(Annahmen!$B$33-Annahmen!$B$24))+(Annahmen!$B$28+G7*(Annahmen!$B$37-Annahmen!$B$28))+(Annahmen!$B$29+G7*(Annahmen!$B$38-Annahmen!$B$29)))</f>
        <v>19.0333333333333</v>
      </c>
      <c r="H8" s="22" t="n">
        <f aca="false">Annahmen!$B$12/(1-Annahmen!$B$15*(1-H6))*((Annahmen!$B$21+H7*(Annahmen!$B$30-Annahmen!$B$21))+(Annahmen!$B$25+H7*(Annahmen!$B$34-Annahmen!$B$25))+(Annahmen!$B$29+H7*(Annahmen!$B$38-Annahmen!$B$29)))+Annahmen!$B$13/(1-Annahmen!$B$15*(1-H6))*((Annahmen!$B$22+H7*(Annahmen!$B$31-Annahmen!$B$22))+(Annahmen!$B$26+H7*(Annahmen!$B$35-Annahmen!$B$26))+(Annahmen!$B$29+H7*(Annahmen!$B$38-Annahmen!$B$29)))+Annahmen!$B$14/(1-Annahmen!$B$15*(1-H6))*((Annahmen!$B$23+H7*(Annahmen!$B$32-Annahmen!$B$23))+(Annahmen!$B$27+H7*(Annahmen!$B$36-Annahmen!$B$27))+(Annahmen!$B$29+H7*(Annahmen!$B$38-Annahmen!$B$29)))+Annahmen!$B$15*H6*((Annahmen!$B$24+H7*(Annahmen!$B$33-Annahmen!$B$24))+(Annahmen!$B$28+H7*(Annahmen!$B$37-Annahmen!$B$28))+(Annahmen!$B$29+H7*(Annahmen!$B$38-Annahmen!$B$29)))</f>
        <v>19.0333333333333</v>
      </c>
      <c r="I8" s="22" t="n">
        <f aca="false">Annahmen!$B$12/(1-Annahmen!$B$15*(1-I6))*((Annahmen!$B$21+I7*(Annahmen!$B$30-Annahmen!$B$21))+(Annahmen!$B$25+I7*(Annahmen!$B$34-Annahmen!$B$25))+(Annahmen!$B$29+I7*(Annahmen!$B$38-Annahmen!$B$29)))+Annahmen!$B$13/(1-Annahmen!$B$15*(1-I6))*((Annahmen!$B$22+I7*(Annahmen!$B$31-Annahmen!$B$22))+(Annahmen!$B$26+I7*(Annahmen!$B$35-Annahmen!$B$26))+(Annahmen!$B$29+I7*(Annahmen!$B$38-Annahmen!$B$29)))+Annahmen!$B$14/(1-Annahmen!$B$15*(1-I6))*((Annahmen!$B$23+I7*(Annahmen!$B$32-Annahmen!$B$23))+(Annahmen!$B$27+I7*(Annahmen!$B$36-Annahmen!$B$27))+(Annahmen!$B$29+I7*(Annahmen!$B$38-Annahmen!$B$29)))+Annahmen!$B$15*I6*((Annahmen!$B$24+I7*(Annahmen!$B$33-Annahmen!$B$24))+(Annahmen!$B$28+I7*(Annahmen!$B$37-Annahmen!$B$28))+(Annahmen!$B$29+I7*(Annahmen!$B$38-Annahmen!$B$29)))</f>
        <v>18.275</v>
      </c>
      <c r="J8" s="22" t="n">
        <f aca="false">Annahmen!$B$12/(1-Annahmen!$B$15*(1-J6))*((Annahmen!$B$21+J7*(Annahmen!$B$30-Annahmen!$B$21))+(Annahmen!$B$25+J7*(Annahmen!$B$34-Annahmen!$B$25))+(Annahmen!$B$29+J7*(Annahmen!$B$38-Annahmen!$B$29)))+Annahmen!$B$13/(1-Annahmen!$B$15*(1-J6))*((Annahmen!$B$22+J7*(Annahmen!$B$31-Annahmen!$B$22))+(Annahmen!$B$26+J7*(Annahmen!$B$35-Annahmen!$B$26))+(Annahmen!$B$29+J7*(Annahmen!$B$38-Annahmen!$B$29)))+Annahmen!$B$14/(1-Annahmen!$B$15*(1-J6))*((Annahmen!$B$23+J7*(Annahmen!$B$32-Annahmen!$B$23))+(Annahmen!$B$27+J7*(Annahmen!$B$36-Annahmen!$B$27))+(Annahmen!$B$29+J7*(Annahmen!$B$38-Annahmen!$B$29)))+Annahmen!$B$15*J6*((Annahmen!$B$24+J7*(Annahmen!$B$33-Annahmen!$B$24))+(Annahmen!$B$28+J7*(Annahmen!$B$37-Annahmen!$B$28))+(Annahmen!$B$29+J7*(Annahmen!$B$38-Annahmen!$B$29)))</f>
        <v>18.275</v>
      </c>
      <c r="K8" s="22" t="n">
        <f aca="false">Annahmen!$B$12/(1-Annahmen!$B$15*(1-K6))*((Annahmen!$B$21+K7*(Annahmen!$B$30-Annahmen!$B$21))+(Annahmen!$B$25+K7*(Annahmen!$B$34-Annahmen!$B$25))+(Annahmen!$B$29+K7*(Annahmen!$B$38-Annahmen!$B$29)))+Annahmen!$B$13/(1-Annahmen!$B$15*(1-K6))*((Annahmen!$B$22+K7*(Annahmen!$B$31-Annahmen!$B$22))+(Annahmen!$B$26+K7*(Annahmen!$B$35-Annahmen!$B$26))+(Annahmen!$B$29+K7*(Annahmen!$B$38-Annahmen!$B$29)))+Annahmen!$B$14/(1-Annahmen!$B$15*(1-K6))*((Annahmen!$B$23+K7*(Annahmen!$B$32-Annahmen!$B$23))+(Annahmen!$B$27+K7*(Annahmen!$B$36-Annahmen!$B$27))+(Annahmen!$B$29+K7*(Annahmen!$B$38-Annahmen!$B$29)))+Annahmen!$B$15*K6*((Annahmen!$B$24+K7*(Annahmen!$B$33-Annahmen!$B$24))+(Annahmen!$B$28+K7*(Annahmen!$B$37-Annahmen!$B$28))+(Annahmen!$B$29+K7*(Annahmen!$B$38-Annahmen!$B$29)))</f>
        <v>18.275</v>
      </c>
      <c r="L8" s="22" t="n">
        <f aca="false">Annahmen!$B$12/(1-Annahmen!$B$15*(1-L6))*((Annahmen!$B$21+L7*(Annahmen!$B$30-Annahmen!$B$21))+(Annahmen!$B$25+L7*(Annahmen!$B$34-Annahmen!$B$25))+(Annahmen!$B$29+L7*(Annahmen!$B$38-Annahmen!$B$29)))+Annahmen!$B$13/(1-Annahmen!$B$15*(1-L6))*((Annahmen!$B$22+L7*(Annahmen!$B$31-Annahmen!$B$22))+(Annahmen!$B$26+L7*(Annahmen!$B$35-Annahmen!$B$26))+(Annahmen!$B$29+L7*(Annahmen!$B$38-Annahmen!$B$29)))+Annahmen!$B$14/(1-Annahmen!$B$15*(1-L6))*((Annahmen!$B$23+L7*(Annahmen!$B$32-Annahmen!$B$23))+(Annahmen!$B$27+L7*(Annahmen!$B$36-Annahmen!$B$27))+(Annahmen!$B$29+L7*(Annahmen!$B$38-Annahmen!$B$29)))+Annahmen!$B$15*L6*((Annahmen!$B$24+L7*(Annahmen!$B$33-Annahmen!$B$24))+(Annahmen!$B$28+L7*(Annahmen!$B$37-Annahmen!$B$28))+(Annahmen!$B$29+L7*(Annahmen!$B$38-Annahmen!$B$29)))</f>
        <v>18.275</v>
      </c>
      <c r="M8" s="22" t="n">
        <f aca="false">Annahmen!$B$12/(1-Annahmen!$B$15*(1-M6))*((Annahmen!$B$21+M7*(Annahmen!$B$30-Annahmen!$B$21))+(Annahmen!$B$25+M7*(Annahmen!$B$34-Annahmen!$B$25))+(Annahmen!$B$29+M7*(Annahmen!$B$38-Annahmen!$B$29)))+Annahmen!$B$13/(1-Annahmen!$B$15*(1-M6))*((Annahmen!$B$22+M7*(Annahmen!$B$31-Annahmen!$B$22))+(Annahmen!$B$26+M7*(Annahmen!$B$35-Annahmen!$B$26))+(Annahmen!$B$29+M7*(Annahmen!$B$38-Annahmen!$B$29)))+Annahmen!$B$14/(1-Annahmen!$B$15*(1-M6))*((Annahmen!$B$23+M7*(Annahmen!$B$32-Annahmen!$B$23))+(Annahmen!$B$27+M7*(Annahmen!$B$36-Annahmen!$B$27))+(Annahmen!$B$29+M7*(Annahmen!$B$38-Annahmen!$B$29)))+Annahmen!$B$15*M6*((Annahmen!$B$24+M7*(Annahmen!$B$33-Annahmen!$B$24))+(Annahmen!$B$28+M7*(Annahmen!$B$37-Annahmen!$B$28))+(Annahmen!$B$29+M7*(Annahmen!$B$38-Annahmen!$B$29)))</f>
        <v>18.275</v>
      </c>
      <c r="N8" s="22" t="n">
        <f aca="false">Annahmen!$B$12/(1-Annahmen!$B$15*(1-N6))*((Annahmen!$B$21+N7*(Annahmen!$B$30-Annahmen!$B$21))+(Annahmen!$B$25+N7*(Annahmen!$B$34-Annahmen!$B$25))+(Annahmen!$B$29+N7*(Annahmen!$B$38-Annahmen!$B$29)))+Annahmen!$B$13/(1-Annahmen!$B$15*(1-N6))*((Annahmen!$B$22+N7*(Annahmen!$B$31-Annahmen!$B$22))+(Annahmen!$B$26+N7*(Annahmen!$B$35-Annahmen!$B$26))+(Annahmen!$B$29+N7*(Annahmen!$B$38-Annahmen!$B$29)))+Annahmen!$B$14/(1-Annahmen!$B$15*(1-N6))*((Annahmen!$B$23+N7*(Annahmen!$B$32-Annahmen!$B$23))+(Annahmen!$B$27+N7*(Annahmen!$B$36-Annahmen!$B$27))+(Annahmen!$B$29+N7*(Annahmen!$B$38-Annahmen!$B$29)))+Annahmen!$B$15*N6*((Annahmen!$B$24+N7*(Annahmen!$B$33-Annahmen!$B$24))+(Annahmen!$B$28+N7*(Annahmen!$B$37-Annahmen!$B$28))+(Annahmen!$B$29+N7*(Annahmen!$B$38-Annahmen!$B$29)))</f>
        <v>18.275</v>
      </c>
      <c r="O8" s="22" t="n">
        <f aca="false">Annahmen!$B$12/(1-Annahmen!$B$15*(1-O6))*((Annahmen!$B$21+O7*(Annahmen!$B$30-Annahmen!$B$21))+(Annahmen!$B$25+O7*(Annahmen!$B$34-Annahmen!$B$25))+(Annahmen!$B$29+O7*(Annahmen!$B$38-Annahmen!$B$29)))+Annahmen!$B$13/(1-Annahmen!$B$15*(1-O6))*((Annahmen!$B$22+O7*(Annahmen!$B$31-Annahmen!$B$22))+(Annahmen!$B$26+O7*(Annahmen!$B$35-Annahmen!$B$26))+(Annahmen!$B$29+O7*(Annahmen!$B$38-Annahmen!$B$29)))+Annahmen!$B$14/(1-Annahmen!$B$15*(1-O6))*((Annahmen!$B$23+O7*(Annahmen!$B$32-Annahmen!$B$23))+(Annahmen!$B$27+O7*(Annahmen!$B$36-Annahmen!$B$27))+(Annahmen!$B$29+O7*(Annahmen!$B$38-Annahmen!$B$29)))+Annahmen!$B$15*O6*((Annahmen!$B$24+O7*(Annahmen!$B$33-Annahmen!$B$24))+(Annahmen!$B$28+O7*(Annahmen!$B$37-Annahmen!$B$28))+(Annahmen!$B$29+O7*(Annahmen!$B$38-Annahmen!$B$29)))</f>
        <v>18.275</v>
      </c>
      <c r="P8" s="22" t="n">
        <f aca="false">Annahmen!$B$12/(1-Annahmen!$B$15*(1-P6))*((Annahmen!$B$21+P7*(Annahmen!$B$30-Annahmen!$B$21))+(Annahmen!$B$25+P7*(Annahmen!$B$34-Annahmen!$B$25))+(Annahmen!$B$29+P7*(Annahmen!$B$38-Annahmen!$B$29)))+Annahmen!$B$13/(1-Annahmen!$B$15*(1-P6))*((Annahmen!$B$22+P7*(Annahmen!$B$31-Annahmen!$B$22))+(Annahmen!$B$26+P7*(Annahmen!$B$35-Annahmen!$B$26))+(Annahmen!$B$29+P7*(Annahmen!$B$38-Annahmen!$B$29)))+Annahmen!$B$14/(1-Annahmen!$B$15*(1-P6))*((Annahmen!$B$23+P7*(Annahmen!$B$32-Annahmen!$B$23))+(Annahmen!$B$27+P7*(Annahmen!$B$36-Annahmen!$B$27))+(Annahmen!$B$29+P7*(Annahmen!$B$38-Annahmen!$B$29)))+Annahmen!$B$15*P6*((Annahmen!$B$24+P7*(Annahmen!$B$33-Annahmen!$B$24))+(Annahmen!$B$28+P7*(Annahmen!$B$37-Annahmen!$B$28))+(Annahmen!$B$29+P7*(Annahmen!$B$38-Annahmen!$B$29)))</f>
        <v>18.275</v>
      </c>
      <c r="Q8" s="22" t="n">
        <f aca="false">Annahmen!$B$12/(1-Annahmen!$B$15*(1-Q6))*((Annahmen!$B$21+Q7*(Annahmen!$B$30-Annahmen!$B$21))+(Annahmen!$B$25+Q7*(Annahmen!$B$34-Annahmen!$B$25))+(Annahmen!$B$29+Q7*(Annahmen!$B$38-Annahmen!$B$29)))+Annahmen!$B$13/(1-Annahmen!$B$15*(1-Q6))*((Annahmen!$B$22+Q7*(Annahmen!$B$31-Annahmen!$B$22))+(Annahmen!$B$26+Q7*(Annahmen!$B$35-Annahmen!$B$26))+(Annahmen!$B$29+Q7*(Annahmen!$B$38-Annahmen!$B$29)))+Annahmen!$B$14/(1-Annahmen!$B$15*(1-Q6))*((Annahmen!$B$23+Q7*(Annahmen!$B$32-Annahmen!$B$23))+(Annahmen!$B$27+Q7*(Annahmen!$B$36-Annahmen!$B$27))+(Annahmen!$B$29+Q7*(Annahmen!$B$38-Annahmen!$B$29)))+Annahmen!$B$15*Q6*((Annahmen!$B$24+Q7*(Annahmen!$B$33-Annahmen!$B$24))+(Annahmen!$B$28+Q7*(Annahmen!$B$37-Annahmen!$B$28))+(Annahmen!$B$29+Q7*(Annahmen!$B$38-Annahmen!$B$29)))</f>
        <v>18.275</v>
      </c>
      <c r="R8" s="22" t="n">
        <f aca="false">Annahmen!$B$12/(1-Annahmen!$B$15*(1-R6))*((Annahmen!$B$21+R7*(Annahmen!$B$30-Annahmen!$B$21))+(Annahmen!$B$25+R7*(Annahmen!$B$34-Annahmen!$B$25))+(Annahmen!$B$29+R7*(Annahmen!$B$38-Annahmen!$B$29)))+Annahmen!$B$13/(1-Annahmen!$B$15*(1-R6))*((Annahmen!$B$22+R7*(Annahmen!$B$31-Annahmen!$B$22))+(Annahmen!$B$26+R7*(Annahmen!$B$35-Annahmen!$B$26))+(Annahmen!$B$29+R7*(Annahmen!$B$38-Annahmen!$B$29)))+Annahmen!$B$14/(1-Annahmen!$B$15*(1-R6))*((Annahmen!$B$23+R7*(Annahmen!$B$32-Annahmen!$B$23))+(Annahmen!$B$27+R7*(Annahmen!$B$36-Annahmen!$B$27))+(Annahmen!$B$29+R7*(Annahmen!$B$38-Annahmen!$B$29)))+Annahmen!$B$15*R6*((Annahmen!$B$24+R7*(Annahmen!$B$33-Annahmen!$B$24))+(Annahmen!$B$28+R7*(Annahmen!$B$37-Annahmen!$B$28))+(Annahmen!$B$29+R7*(Annahmen!$B$38-Annahmen!$B$29)))</f>
        <v>18.275</v>
      </c>
      <c r="S8" s="22" t="n">
        <f aca="false">Annahmen!$B$12/(1-Annahmen!$B$15*(1-S6))*((Annahmen!$B$21+S7*(Annahmen!$B$30-Annahmen!$B$21))+(Annahmen!$B$25+S7*(Annahmen!$B$34-Annahmen!$B$25))+(Annahmen!$B$29+S7*(Annahmen!$B$38-Annahmen!$B$29)))+Annahmen!$B$13/(1-Annahmen!$B$15*(1-S6))*((Annahmen!$B$22+S7*(Annahmen!$B$31-Annahmen!$B$22))+(Annahmen!$B$26+S7*(Annahmen!$B$35-Annahmen!$B$26))+(Annahmen!$B$29+S7*(Annahmen!$B$38-Annahmen!$B$29)))+Annahmen!$B$14/(1-Annahmen!$B$15*(1-S6))*((Annahmen!$B$23+S7*(Annahmen!$B$32-Annahmen!$B$23))+(Annahmen!$B$27+S7*(Annahmen!$B$36-Annahmen!$B$27))+(Annahmen!$B$29+S7*(Annahmen!$B$38-Annahmen!$B$29)))+Annahmen!$B$15*S6*((Annahmen!$B$24+S7*(Annahmen!$B$33-Annahmen!$B$24))+(Annahmen!$B$28+S7*(Annahmen!$B$37-Annahmen!$B$28))+(Annahmen!$B$29+S7*(Annahmen!$B$38-Annahmen!$B$29)))</f>
        <v>18.275</v>
      </c>
      <c r="T8" s="22" t="n">
        <f aca="false">Annahmen!$B$12/(1-Annahmen!$B$15*(1-T6))*((Annahmen!$B$21+T7*(Annahmen!$B$30-Annahmen!$B$21))+(Annahmen!$B$25+T7*(Annahmen!$B$34-Annahmen!$B$25))+(Annahmen!$B$29+T7*(Annahmen!$B$38-Annahmen!$B$29)))+Annahmen!$B$13/(1-Annahmen!$B$15*(1-T6))*((Annahmen!$B$22+T7*(Annahmen!$B$31-Annahmen!$B$22))+(Annahmen!$B$26+T7*(Annahmen!$B$35-Annahmen!$B$26))+(Annahmen!$B$29+T7*(Annahmen!$B$38-Annahmen!$B$29)))+Annahmen!$B$14/(1-Annahmen!$B$15*(1-T6))*((Annahmen!$B$23+T7*(Annahmen!$B$32-Annahmen!$B$23))+(Annahmen!$B$27+T7*(Annahmen!$B$36-Annahmen!$B$27))+(Annahmen!$B$29+T7*(Annahmen!$B$38-Annahmen!$B$29)))+Annahmen!$B$15*T6*((Annahmen!$B$24+T7*(Annahmen!$B$33-Annahmen!$B$24))+(Annahmen!$B$28+T7*(Annahmen!$B$37-Annahmen!$B$28))+(Annahmen!$B$29+T7*(Annahmen!$B$38-Annahmen!$B$29)))</f>
        <v>18.275</v>
      </c>
      <c r="U8" s="22" t="n">
        <f aca="false">Annahmen!$B$12/(1-Annahmen!$B$15*(1-U6))*((Annahmen!$B$21+U7*(Annahmen!$B$30-Annahmen!$B$21))+(Annahmen!$B$25+U7*(Annahmen!$B$34-Annahmen!$B$25))+(Annahmen!$B$29+U7*(Annahmen!$B$38-Annahmen!$B$29)))+Annahmen!$B$13/(1-Annahmen!$B$15*(1-U6))*((Annahmen!$B$22+U7*(Annahmen!$B$31-Annahmen!$B$22))+(Annahmen!$B$26+U7*(Annahmen!$B$35-Annahmen!$B$26))+(Annahmen!$B$29+U7*(Annahmen!$B$38-Annahmen!$B$29)))+Annahmen!$B$14/(1-Annahmen!$B$15*(1-U6))*((Annahmen!$B$23+U7*(Annahmen!$B$32-Annahmen!$B$23))+(Annahmen!$B$27+U7*(Annahmen!$B$36-Annahmen!$B$27))+(Annahmen!$B$29+U7*(Annahmen!$B$38-Annahmen!$B$29)))+Annahmen!$B$15*U6*((Annahmen!$B$24+U7*(Annahmen!$B$33-Annahmen!$B$24))+(Annahmen!$B$28+U7*(Annahmen!$B$37-Annahmen!$B$28))+(Annahmen!$B$29+U7*(Annahmen!$B$38-Annahmen!$B$29)))</f>
        <v>18.275</v>
      </c>
      <c r="V8" s="22" t="n">
        <f aca="false">Annahmen!$B$12/(1-Annahmen!$B$15*(1-V6))*((Annahmen!$B$21+V7*(Annahmen!$B$30-Annahmen!$B$21))+(Annahmen!$B$25+V7*(Annahmen!$B$34-Annahmen!$B$25))+(Annahmen!$B$29+V7*(Annahmen!$B$38-Annahmen!$B$29)))+Annahmen!$B$13/(1-Annahmen!$B$15*(1-V6))*((Annahmen!$B$22+V7*(Annahmen!$B$31-Annahmen!$B$22))+(Annahmen!$B$26+V7*(Annahmen!$B$35-Annahmen!$B$26))+(Annahmen!$B$29+V7*(Annahmen!$B$38-Annahmen!$B$29)))+Annahmen!$B$14/(1-Annahmen!$B$15*(1-V6))*((Annahmen!$B$23+V7*(Annahmen!$B$32-Annahmen!$B$23))+(Annahmen!$B$27+V7*(Annahmen!$B$36-Annahmen!$B$27))+(Annahmen!$B$29+V7*(Annahmen!$B$38-Annahmen!$B$29)))+Annahmen!$B$15*V6*((Annahmen!$B$24+V7*(Annahmen!$B$33-Annahmen!$B$24))+(Annahmen!$B$28+V7*(Annahmen!$B$37-Annahmen!$B$28))+(Annahmen!$B$29+V7*(Annahmen!$B$38-Annahmen!$B$29)))</f>
        <v>18.275</v>
      </c>
      <c r="W8" s="22" t="n">
        <f aca="false">Annahmen!$B$12/(1-Annahmen!$B$15*(1-W6))*((Annahmen!$B$21+W7*(Annahmen!$B$30-Annahmen!$B$21))+(Annahmen!$B$25+W7*(Annahmen!$B$34-Annahmen!$B$25))+(Annahmen!$B$29+W7*(Annahmen!$B$38-Annahmen!$B$29)))+Annahmen!$B$13/(1-Annahmen!$B$15*(1-W6))*((Annahmen!$B$22+W7*(Annahmen!$B$31-Annahmen!$B$22))+(Annahmen!$B$26+W7*(Annahmen!$B$35-Annahmen!$B$26))+(Annahmen!$B$29+W7*(Annahmen!$B$38-Annahmen!$B$29)))+Annahmen!$B$14/(1-Annahmen!$B$15*(1-W6))*((Annahmen!$B$23+W7*(Annahmen!$B$32-Annahmen!$B$23))+(Annahmen!$B$27+W7*(Annahmen!$B$36-Annahmen!$B$27))+(Annahmen!$B$29+W7*(Annahmen!$B$38-Annahmen!$B$29)))+Annahmen!$B$15*W6*((Annahmen!$B$24+W7*(Annahmen!$B$33-Annahmen!$B$24))+(Annahmen!$B$28+W7*(Annahmen!$B$37-Annahmen!$B$28))+(Annahmen!$B$29+W7*(Annahmen!$B$38-Annahmen!$B$29)))</f>
        <v>18.275</v>
      </c>
      <c r="X8" s="22" t="n">
        <f aca="false">Annahmen!$B$12/(1-Annahmen!$B$15*(1-X6))*((Annahmen!$B$21+X7*(Annahmen!$B$30-Annahmen!$B$21))+(Annahmen!$B$25+X7*(Annahmen!$B$34-Annahmen!$B$25))+(Annahmen!$B$29+X7*(Annahmen!$B$38-Annahmen!$B$29)))+Annahmen!$B$13/(1-Annahmen!$B$15*(1-X6))*((Annahmen!$B$22+X7*(Annahmen!$B$31-Annahmen!$B$22))+(Annahmen!$B$26+X7*(Annahmen!$B$35-Annahmen!$B$26))+(Annahmen!$B$29+X7*(Annahmen!$B$38-Annahmen!$B$29)))+Annahmen!$B$14/(1-Annahmen!$B$15*(1-X6))*((Annahmen!$B$23+X7*(Annahmen!$B$32-Annahmen!$B$23))+(Annahmen!$B$27+X7*(Annahmen!$B$36-Annahmen!$B$27))+(Annahmen!$B$29+X7*(Annahmen!$B$38-Annahmen!$B$29)))+Annahmen!$B$15*X6*((Annahmen!$B$24+X7*(Annahmen!$B$33-Annahmen!$B$24))+(Annahmen!$B$28+X7*(Annahmen!$B$37-Annahmen!$B$28))+(Annahmen!$B$29+X7*(Annahmen!$B$38-Annahmen!$B$29)))</f>
        <v>18.275</v>
      </c>
      <c r="Y8" s="22" t="n">
        <f aca="false">Annahmen!$B$12/(1-Annahmen!$B$15*(1-Y6))*((Annahmen!$B$21+Y7*(Annahmen!$B$30-Annahmen!$B$21))+(Annahmen!$B$25+Y7*(Annahmen!$B$34-Annahmen!$B$25))+(Annahmen!$B$29+Y7*(Annahmen!$B$38-Annahmen!$B$29)))+Annahmen!$B$13/(1-Annahmen!$B$15*(1-Y6))*((Annahmen!$B$22+Y7*(Annahmen!$B$31-Annahmen!$B$22))+(Annahmen!$B$26+Y7*(Annahmen!$B$35-Annahmen!$B$26))+(Annahmen!$B$29+Y7*(Annahmen!$B$38-Annahmen!$B$29)))+Annahmen!$B$14/(1-Annahmen!$B$15*(1-Y6))*((Annahmen!$B$23+Y7*(Annahmen!$B$32-Annahmen!$B$23))+(Annahmen!$B$27+Y7*(Annahmen!$B$36-Annahmen!$B$27))+(Annahmen!$B$29+Y7*(Annahmen!$B$38-Annahmen!$B$29)))+Annahmen!$B$15*Y6*((Annahmen!$B$24+Y7*(Annahmen!$B$33-Annahmen!$B$24))+(Annahmen!$B$28+Y7*(Annahmen!$B$37-Annahmen!$B$28))+(Annahmen!$B$29+Y7*(Annahmen!$B$38-Annahmen!$B$29)))</f>
        <v>18.275</v>
      </c>
    </row>
    <row r="9" customFormat="false" ht="15" hidden="false" customHeight="false" outlineLevel="0" collapsed="false">
      <c r="A9" s="5" t="s">
        <v>134</v>
      </c>
      <c r="B9" s="22" t="n">
        <f aca="false">0*(Annahmen!$B$25+B7*(Annahmen!$B$34-Annahmen!$B$25))+0*(Annahmen!$B$26+B7*(Annahmen!$B$35-Annahmen!$B$26))+0*(Annahmen!$B$27+B7*(Annahmen!$B$36-Annahmen!$B$27))+0*(Annahmen!$B$28+B7*(Annahmen!$B$37-Annahmen!$B$28))</f>
        <v>0</v>
      </c>
      <c r="C9" s="22" t="n">
        <f aca="false">B14*(Annahmen!$B$25+C7*(Annahmen!$B$34-Annahmen!$B$25))+B15*(Annahmen!$B$26+C7*(Annahmen!$B$35-Annahmen!$B$26))+B16*(Annahmen!$B$27+C7*(Annahmen!$B$36-Annahmen!$B$27))+B17*(Annahmen!$B$28+C7*(Annahmen!$B$37-Annahmen!$B$28))</f>
        <v>6.41666666666667</v>
      </c>
      <c r="D9" s="22" t="n">
        <f aca="false">C14*(Annahmen!$B$25+D7*(Annahmen!$B$34-Annahmen!$B$25))+C15*(Annahmen!$B$26+D7*(Annahmen!$B$35-Annahmen!$B$26))+C16*(Annahmen!$B$27+D7*(Annahmen!$B$36-Annahmen!$B$27))+C17*(Annahmen!$B$28+D7*(Annahmen!$B$37-Annahmen!$B$28))</f>
        <v>12.6858333333333</v>
      </c>
      <c r="E9" s="22" t="n">
        <f aca="false">D14*(Annahmen!$B$25+E7*(Annahmen!$B$34-Annahmen!$B$25))+D15*(Annahmen!$B$26+E7*(Annahmen!$B$35-Annahmen!$B$26))+D16*(Annahmen!$B$27+E7*(Annahmen!$B$36-Annahmen!$B$27))+D17*(Annahmen!$B$28+E7*(Annahmen!$B$37-Annahmen!$B$28))</f>
        <v>13.2375033333333</v>
      </c>
      <c r="F9" s="22" t="n">
        <f aca="false">E14*(Annahmen!$B$25+F7*(Annahmen!$B$34-Annahmen!$B$25))+E15*(Annahmen!$B$26+F7*(Annahmen!$B$35-Annahmen!$B$26))+E16*(Annahmen!$B$27+F7*(Annahmen!$B$36-Annahmen!$B$27))+E17*(Annahmen!$B$28+F7*(Annahmen!$B$37-Annahmen!$B$28))</f>
        <v>19.6683009666667</v>
      </c>
      <c r="G9" s="22" t="n">
        <f aca="false">F14*(Annahmen!$B$25+G7*(Annahmen!$B$34-Annahmen!$B$25))+F15*(Annahmen!$B$26+G7*(Annahmen!$B$35-Annahmen!$B$26))+F16*(Annahmen!$B$27+G7*(Annahmen!$B$36-Annahmen!$B$27))+F17*(Annahmen!$B$28+G7*(Annahmen!$B$37-Annahmen!$B$28))</f>
        <v>25.9523093503333</v>
      </c>
      <c r="H9" s="22" t="n">
        <f aca="false">G14*(Annahmen!$B$25+H7*(Annahmen!$B$34-Annahmen!$B$25))+G15*(Annahmen!$B$26+H7*(Annahmen!$B$35-Annahmen!$B$26))+G16*(Annahmen!$B$27+H7*(Annahmen!$B$36-Annahmen!$B$27))+G17*(Annahmen!$B$28+H7*(Annahmen!$B$37-Annahmen!$B$28))</f>
        <v>32.0930225368967</v>
      </c>
      <c r="I9" s="22" t="n">
        <f aca="false">H14*(Annahmen!$B$25+I7*(Annahmen!$B$34-Annahmen!$B$25))+H15*(Annahmen!$B$26+I7*(Annahmen!$B$35-Annahmen!$B$26))+H16*(Annahmen!$B$27+I7*(Annahmen!$B$36-Annahmen!$B$27))+H17*(Annahmen!$B$28+I7*(Annahmen!$B$37-Annahmen!$B$28))</f>
        <v>38.093847819155</v>
      </c>
      <c r="J9" s="22" t="n">
        <f aca="false">I14*(Annahmen!$B$25+J7*(Annahmen!$B$34-Annahmen!$B$25))+I15*(Annahmen!$B$26+J7*(Annahmen!$B$35-Annahmen!$B$26))+I16*(Annahmen!$B$27+J7*(Annahmen!$B$36-Annahmen!$B$27))+I17*(Annahmen!$B$28+J7*(Annahmen!$B$37-Annahmen!$B$28))</f>
        <v>44.2747746396721</v>
      </c>
      <c r="K9" s="22" t="n">
        <f aca="false">J14*(Annahmen!$B$25+K7*(Annahmen!$B$34-Annahmen!$B$25))+J15*(Annahmen!$B$26+K7*(Annahmen!$B$35-Annahmen!$B$26))+J16*(Annahmen!$B$27+K7*(Annahmen!$B$36-Annahmen!$B$27))+J17*(Annahmen!$B$28+K7*(Annahmen!$B$37-Annahmen!$B$28))</f>
        <v>50.2608767735399</v>
      </c>
      <c r="L9" s="22" t="n">
        <f aca="false">K14*(Annahmen!$B$25+L7*(Annahmen!$B$34-Annahmen!$B$25))+K15*(Annahmen!$B$26+L7*(Annahmen!$B$35-Annahmen!$B$26))+K16*(Annahmen!$B$27+L7*(Annahmen!$B$36-Annahmen!$B$27))+K17*(Annahmen!$B$28+L7*(Annahmen!$B$37-Annahmen!$B$28))</f>
        <v>56.059396119368</v>
      </c>
      <c r="M9" s="22" t="n">
        <f aca="false">L14*(Annahmen!$B$25+M7*(Annahmen!$B$34-Annahmen!$B$25))+L15*(Annahmen!$B$26+M7*(Annahmen!$B$35-Annahmen!$B$26))+L16*(Annahmen!$B$27+M7*(Annahmen!$B$36-Annahmen!$B$27))+L17*(Annahmen!$B$28+M7*(Annahmen!$B$37-Annahmen!$B$28))</f>
        <v>61.6772692834436</v>
      </c>
      <c r="N9" s="22" t="n">
        <f aca="false">M14*(Annahmen!$B$25+N7*(Annahmen!$B$34-Annahmen!$B$25))+M15*(Annahmen!$B$26+N7*(Annahmen!$B$35-Annahmen!$B$26))+M16*(Annahmen!$B$27+N7*(Annahmen!$B$36-Annahmen!$B$27))+M17*(Annahmen!$B$28+N7*(Annahmen!$B$37-Annahmen!$B$28))</f>
        <v>67.1211415001309</v>
      </c>
      <c r="O9" s="22" t="n">
        <f aca="false">N14*(Annahmen!$B$25+O7*(Annahmen!$B$34-Annahmen!$B$25))+N15*(Annahmen!$B$26+O7*(Annahmen!$B$35-Annahmen!$B$26))+N16*(Annahmen!$B$27+O7*(Annahmen!$B$36-Annahmen!$B$27))+N17*(Annahmen!$B$28+O7*(Annahmen!$B$37-Annahmen!$B$28))</f>
        <v>72.3973798894159</v>
      </c>
      <c r="P9" s="22" t="n">
        <f aca="false">O14*(Annahmen!$B$25+P7*(Annahmen!$B$34-Annahmen!$B$25))+O15*(Annahmen!$B$26+P7*(Annahmen!$B$35-Annahmen!$B$26))+O16*(Annahmen!$B$27+P7*(Annahmen!$B$36-Annahmen!$B$27))+O17*(Annahmen!$B$28+P7*(Annahmen!$B$37-Annahmen!$B$28))</f>
        <v>77.5120860838887</v>
      </c>
      <c r="Q9" s="22" t="n">
        <f aca="false">P14*(Annahmen!$B$25+Q7*(Annahmen!$B$34-Annahmen!$B$25))+P15*(Annahmen!$B$26+Q7*(Annahmen!$B$35-Annahmen!$B$26))+P16*(Annahmen!$B$27+Q7*(Annahmen!$B$36-Annahmen!$B$27))+P17*(Annahmen!$B$28+Q7*(Annahmen!$B$37-Annahmen!$B$28))</f>
        <v>82.4711082558609</v>
      </c>
      <c r="R9" s="22" t="n">
        <f aca="false">Q14*(Annahmen!$B$25+R7*(Annahmen!$B$34-Annahmen!$B$25))+Q15*(Annahmen!$B$26+R7*(Annahmen!$B$35-Annahmen!$B$26))+Q16*(Annahmen!$B$27+R7*(Annahmen!$B$36-Annahmen!$B$27))+Q17*(Annahmen!$B$28+R7*(Annahmen!$B$37-Annahmen!$B$28))</f>
        <v>87.2800525738042</v>
      </c>
      <c r="S9" s="22" t="n">
        <f aca="false">R14*(Annahmen!$B$25+S7*(Annahmen!$B$34-Annahmen!$B$25))+R15*(Annahmen!$B$26+S7*(Annahmen!$B$35-Annahmen!$B$26))+R16*(Annahmen!$B$27+S7*(Annahmen!$B$36-Annahmen!$B$27))+R17*(Annahmen!$B$28+S7*(Annahmen!$B$37-Annahmen!$B$28))</f>
        <v>91.9442941158589</v>
      </c>
      <c r="T9" s="22" t="n">
        <f aca="false">S14*(Annahmen!$B$25+T7*(Annahmen!$B$34-Annahmen!$B$25))+S15*(Annahmen!$B$26+T7*(Annahmen!$B$35-Annahmen!$B$26))+S16*(Annahmen!$B$27+T7*(Annahmen!$B$36-Annahmen!$B$27))+S17*(Annahmen!$B$28+T7*(Annahmen!$B$37-Annahmen!$B$28))</f>
        <v>96.4689872667931</v>
      </c>
      <c r="U9" s="22" t="n">
        <f aca="false">T14*(Annahmen!$B$25+U7*(Annahmen!$B$34-Annahmen!$B$25))+T15*(Annahmen!$B$26+U7*(Annahmen!$B$35-Annahmen!$B$26))+T16*(Annahmen!$B$27+U7*(Annahmen!$B$36-Annahmen!$B$27))+T17*(Annahmen!$B$28+U7*(Annahmen!$B$37-Annahmen!$B$28))</f>
        <v>100.859075623496</v>
      </c>
      <c r="V9" s="22" t="n">
        <f aca="false">U14*(Annahmen!$B$25+V7*(Annahmen!$B$34-Annahmen!$B$25))+U15*(Annahmen!$B$26+V7*(Annahmen!$B$35-Annahmen!$B$26))+U16*(Annahmen!$B$27+V7*(Annahmen!$B$36-Annahmen!$B$27))+U17*(Annahmen!$B$28+V7*(Annahmen!$B$37-Annahmen!$B$28))</f>
        <v>105.119301432851</v>
      </c>
      <c r="W9" s="22" t="n">
        <f aca="false">V14*(Annahmen!$B$25+W7*(Annahmen!$B$34-Annahmen!$B$25))+V15*(Annahmen!$B$26+W7*(Annahmen!$B$35-Annahmen!$B$26))+V16*(Annahmen!$B$27+W7*(Annahmen!$B$36-Annahmen!$B$27))+V17*(Annahmen!$B$28+W7*(Annahmen!$B$37-Annahmen!$B$28))</f>
        <v>109.254214584674</v>
      </c>
      <c r="X9" s="22" t="n">
        <f aca="false">W14*(Annahmen!$B$25+X7*(Annahmen!$B$34-Annahmen!$B$25))+W15*(Annahmen!$B$26+X7*(Annahmen!$B$35-Annahmen!$B$26))+W16*(Annahmen!$B$27+X7*(Annahmen!$B$36-Annahmen!$B$27))+W17*(Annahmen!$B$28+X7*(Annahmen!$B$37-Annahmen!$B$28))</f>
        <v>113.268181181255</v>
      </c>
      <c r="Y9" s="22" t="n">
        <f aca="false">X14*(Annahmen!$B$25+Y7*(Annahmen!$B$34-Annahmen!$B$25))+X15*(Annahmen!$B$26+Y7*(Annahmen!$B$35-Annahmen!$B$26))+X16*(Annahmen!$B$27+Y7*(Annahmen!$B$36-Annahmen!$B$27))+X17*(Annahmen!$B$28+Y7*(Annahmen!$B$37-Annahmen!$B$28))</f>
        <v>117.165391704034</v>
      </c>
    </row>
    <row r="10" customFormat="false" ht="15" hidden="false" customHeight="false" outlineLevel="0" collapsed="false">
      <c r="A10" s="5" t="s">
        <v>135</v>
      </c>
      <c r="B10" s="22" t="n">
        <f aca="false">MAX(0,(Annahmen!$B$41-B9)/B8)</f>
        <v>4.58426966292135</v>
      </c>
      <c r="C10" s="22" t="n">
        <f aca="false">MAX(0,(Annahmen!$B$41-C9)/C8)</f>
        <v>4.41123595505618</v>
      </c>
      <c r="D10" s="22" t="n">
        <f aca="false">MAX(0,(Annahmen!$B$41-D9)/D8)</f>
        <v>4.2421797752809</v>
      </c>
      <c r="E10" s="22" t="n">
        <f aca="false">MAX(0,(Annahmen!$B$41-E9)/E8)</f>
        <v>8.23620823117338</v>
      </c>
      <c r="F10" s="22" t="n">
        <f aca="false">MAX(0,(Annahmen!$B$41-F9)/F8)</f>
        <v>7.89833795271454</v>
      </c>
      <c r="G10" s="22" t="n">
        <f aca="false">MAX(0,(Annahmen!$B$41-G9)/G8)</f>
        <v>7.56817989402802</v>
      </c>
      <c r="H10" s="22" t="n">
        <f aca="false">MAX(0,(Annahmen!$B$41-H9)/H8)</f>
        <v>7.24555047967268</v>
      </c>
      <c r="I10" s="22" t="n">
        <f aca="false">MAX(0,(Annahmen!$B$41-I9)/I8)</f>
        <v>7.2178469045606</v>
      </c>
      <c r="J10" s="22" t="n">
        <f aca="false">MAX(0,(Annahmen!$B$41-J9)/J8)</f>
        <v>6.87962929468279</v>
      </c>
      <c r="K10" s="22" t="n">
        <f aca="false">MAX(0,(Annahmen!$B$41-K9)/K8)</f>
        <v>6.55207240637265</v>
      </c>
      <c r="L10" s="22" t="n">
        <f aca="false">MAX(0,(Annahmen!$B$41-L9)/L8)</f>
        <v>6.23477996610846</v>
      </c>
      <c r="M10" s="22" t="n">
        <f aca="false">MAX(0,(Annahmen!$B$41-M9)/M8)</f>
        <v>5.92737240583072</v>
      </c>
      <c r="N10" s="22" t="n">
        <f aca="false">MAX(0,(Annahmen!$B$41-N9)/N8)</f>
        <v>5.62948610122403</v>
      </c>
      <c r="O10" s="22" t="n">
        <f aca="false">MAX(0,(Annahmen!$B$41-O9)/O8)</f>
        <v>5.34077264626999</v>
      </c>
      <c r="P10" s="22" t="n">
        <f aca="false">MAX(0,(Annahmen!$B$41-P9)/P8)</f>
        <v>5.06089816230431</v>
      </c>
      <c r="Q10" s="22" t="n">
        <f aca="false">MAX(0,(Annahmen!$B$41-Q9)/Q8)</f>
        <v>4.78954263989818</v>
      </c>
      <c r="R10" s="22" t="n">
        <f aca="false">MAX(0,(Annahmen!$B$41-R9)/R8)</f>
        <v>4.52639931196694</v>
      </c>
      <c r="S10" s="22" t="n">
        <f aca="false">MAX(0,(Annahmen!$B$41-S9)/S8)</f>
        <v>4.27117405658775</v>
      </c>
      <c r="T10" s="22" t="n">
        <f aca="false">MAX(0,(Annahmen!$B$41-T9)/T8)</f>
        <v>4.02358482808246</v>
      </c>
      <c r="U10" s="22" t="n">
        <f aca="false">MAX(0,(Annahmen!$B$41-U9)/U8)</f>
        <v>3.7833611149934</v>
      </c>
      <c r="V10" s="22" t="n">
        <f aca="false">MAX(0,(Annahmen!$B$41-V9)/V8)</f>
        <v>3.55024342364698</v>
      </c>
      <c r="W10" s="22" t="n">
        <f aca="false">MAX(0,(Annahmen!$B$41-W9)/W8)</f>
        <v>3.32398278606436</v>
      </c>
      <c r="X10" s="22" t="n">
        <f aca="false">MAX(0,(Annahmen!$B$41-X9)/X8)</f>
        <v>3.10434029103939</v>
      </c>
      <c r="Y10" s="22" t="n">
        <f aca="false">MAX(0,(Annahmen!$B$41-Y9)/Y8)</f>
        <v>2.89108663726217</v>
      </c>
    </row>
    <row r="11" customFormat="false" ht="15" hidden="false" customHeight="false" outlineLevel="0" collapsed="false">
      <c r="A11" s="7" t="s">
        <v>136</v>
      </c>
      <c r="B11" s="21" t="n">
        <f aca="false">MIN(B5,B10)</f>
        <v>1</v>
      </c>
      <c r="C11" s="21" t="n">
        <f aca="false">MIN(C5,C10)</f>
        <v>1</v>
      </c>
      <c r="D11" s="21" t="n">
        <f aca="false">MIN(D5,D10)</f>
        <v>2</v>
      </c>
      <c r="E11" s="21" t="n">
        <f aca="false">MIN(E5,E10)</f>
        <v>2</v>
      </c>
      <c r="F11" s="21" t="n">
        <f aca="false">MIN(F5,F10)</f>
        <v>2</v>
      </c>
      <c r="G11" s="21" t="n">
        <f aca="false">MIN(G5,G10)</f>
        <v>2</v>
      </c>
      <c r="H11" s="21" t="n">
        <f aca="false">MIN(H5,H10)</f>
        <v>2</v>
      </c>
      <c r="I11" s="21" t="n">
        <f aca="false">MIN(I5,I10)</f>
        <v>2</v>
      </c>
      <c r="J11" s="21" t="n">
        <f aca="false">MIN(J5,J10)</f>
        <v>2</v>
      </c>
      <c r="K11" s="21" t="n">
        <f aca="false">MIN(K5,K10)</f>
        <v>2</v>
      </c>
      <c r="L11" s="21" t="n">
        <f aca="false">MIN(L5,L10)</f>
        <v>2</v>
      </c>
      <c r="M11" s="21" t="n">
        <f aca="false">MIN(M5,M10)</f>
        <v>2</v>
      </c>
      <c r="N11" s="21" t="n">
        <f aca="false">MIN(N5,N10)</f>
        <v>2</v>
      </c>
      <c r="O11" s="21" t="n">
        <f aca="false">MIN(O5,O10)</f>
        <v>2</v>
      </c>
      <c r="P11" s="21" t="n">
        <f aca="false">MIN(P5,P10)</f>
        <v>2</v>
      </c>
      <c r="Q11" s="21" t="n">
        <f aca="false">MIN(Q5,Q10)</f>
        <v>2</v>
      </c>
      <c r="R11" s="21" t="n">
        <f aca="false">MIN(R5,R10)</f>
        <v>2</v>
      </c>
      <c r="S11" s="21" t="n">
        <f aca="false">MIN(S5,S10)</f>
        <v>2</v>
      </c>
      <c r="T11" s="21" t="n">
        <f aca="false">MIN(T5,T10)</f>
        <v>2</v>
      </c>
      <c r="U11" s="21" t="n">
        <f aca="false">MIN(U5,U10)</f>
        <v>2</v>
      </c>
      <c r="V11" s="21" t="n">
        <f aca="false">MIN(V5,V10)</f>
        <v>2</v>
      </c>
      <c r="W11" s="21" t="n">
        <f aca="false">MIN(W5,W10)</f>
        <v>2</v>
      </c>
      <c r="X11" s="21" t="n">
        <f aca="false">MIN(X5,X10)</f>
        <v>2</v>
      </c>
      <c r="Y11" s="21" t="n">
        <f aca="false">MIN(Y5,Y10)</f>
        <v>2</v>
      </c>
    </row>
    <row r="12" customFormat="false" ht="15" hidden="false" customHeight="false" outlineLevel="0" collapsed="false">
      <c r="A12" s="5" t="s">
        <v>137</v>
      </c>
      <c r="B12" s="22" t="n">
        <f aca="false">0+B11</f>
        <v>1</v>
      </c>
      <c r="C12" s="22" t="n">
        <f aca="false">B12+C11</f>
        <v>2</v>
      </c>
      <c r="D12" s="22" t="n">
        <f aca="false">C12+D11</f>
        <v>4</v>
      </c>
      <c r="E12" s="22" t="n">
        <f aca="false">D12+E11</f>
        <v>6</v>
      </c>
      <c r="F12" s="22" t="n">
        <f aca="false">E12+F11</f>
        <v>8</v>
      </c>
      <c r="G12" s="22" t="n">
        <f aca="false">F12+G11</f>
        <v>10</v>
      </c>
      <c r="H12" s="22" t="n">
        <f aca="false">G12+H11</f>
        <v>12</v>
      </c>
      <c r="I12" s="22" t="n">
        <f aca="false">H12+I11</f>
        <v>14</v>
      </c>
      <c r="J12" s="22" t="n">
        <f aca="false">I12+J11</f>
        <v>16</v>
      </c>
      <c r="K12" s="22" t="n">
        <f aca="false">J12+K11</f>
        <v>18</v>
      </c>
      <c r="L12" s="22" t="n">
        <f aca="false">K12+L11</f>
        <v>20</v>
      </c>
      <c r="M12" s="22" t="n">
        <f aca="false">L12+M11</f>
        <v>22</v>
      </c>
      <c r="N12" s="22" t="n">
        <f aca="false">M12+N11</f>
        <v>24</v>
      </c>
      <c r="O12" s="22" t="n">
        <f aca="false">N12+O11</f>
        <v>26</v>
      </c>
      <c r="P12" s="22" t="n">
        <f aca="false">O12+P11</f>
        <v>28</v>
      </c>
      <c r="Q12" s="22" t="n">
        <f aca="false">P12+Q11</f>
        <v>30</v>
      </c>
      <c r="R12" s="22" t="n">
        <f aca="false">Q12+R11</f>
        <v>32</v>
      </c>
      <c r="S12" s="22" t="n">
        <f aca="false">R12+S11</f>
        <v>34</v>
      </c>
      <c r="T12" s="22" t="n">
        <f aca="false">S12+T11</f>
        <v>36</v>
      </c>
      <c r="U12" s="22" t="n">
        <f aca="false">T12+U11</f>
        <v>38</v>
      </c>
      <c r="V12" s="22" t="n">
        <f aca="false">U12+V11</f>
        <v>40</v>
      </c>
      <c r="W12" s="22" t="n">
        <f aca="false">V12+W11</f>
        <v>42</v>
      </c>
      <c r="X12" s="22" t="n">
        <f aca="false">W12+X11</f>
        <v>44</v>
      </c>
      <c r="Y12" s="22" t="n">
        <f aca="false">X12+Y11</f>
        <v>46</v>
      </c>
    </row>
    <row r="13" customFormat="false" ht="15" hidden="false" customHeight="fals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customFormat="false" ht="15" hidden="false" customHeight="false" outlineLevel="0" collapsed="false">
      <c r="A14" s="5" t="s">
        <v>138</v>
      </c>
      <c r="B14" s="22" t="n">
        <f aca="false">0*(1-Annahmen!$B$17)+B11*Annahmen!$B$12/(1-Annahmen!$B$15*(1-B6))</f>
        <v>0.333333333333333</v>
      </c>
      <c r="C14" s="22" t="n">
        <f aca="false">B14*(1-Annahmen!$B$17)+C11*Annahmen!$B$12/(1-Annahmen!$B$15*(1-C6))</f>
        <v>0.663333333333333</v>
      </c>
      <c r="D14" s="22" t="n">
        <f aca="false">C14*(1-Annahmen!$B$17)+D11*Annahmen!$B$12/(1-Annahmen!$B$15*(1-D6))</f>
        <v>1.32336666666667</v>
      </c>
      <c r="E14" s="22" t="n">
        <f aca="false">D14*(1-Annahmen!$B$17)+E11*Annahmen!$B$12/(1-Annahmen!$B$15*(1-E6))</f>
        <v>1.97679966666667</v>
      </c>
      <c r="F14" s="22" t="n">
        <f aca="false">E14*(1-Annahmen!$B$17)+F11*Annahmen!$B$12/(1-Annahmen!$B$15*(1-F6))</f>
        <v>2.62369833666667</v>
      </c>
      <c r="G14" s="22" t="n">
        <f aca="false">F14*(1-Annahmen!$B$17)+G11*Annahmen!$B$12/(1-Annahmen!$B$15*(1-G6))</f>
        <v>3.26412801996667</v>
      </c>
      <c r="H14" s="22" t="n">
        <f aca="false">G14*(1-Annahmen!$B$17)+H11*Annahmen!$B$12/(1-Annahmen!$B$15*(1-H6))</f>
        <v>3.89815340643367</v>
      </c>
      <c r="I14" s="22" t="n">
        <f aca="false">H14*(1-Annahmen!$B$17)+I11*Annahmen!$B$12/(1-Annahmen!$B$15*(1-I6))</f>
        <v>4.35917187236933</v>
      </c>
      <c r="J14" s="22" t="n">
        <f aca="false">I14*(1-Annahmen!$B$17)+J11*Annahmen!$B$12/(1-Annahmen!$B$15*(1-J6))</f>
        <v>4.81558015364564</v>
      </c>
      <c r="K14" s="22" t="n">
        <f aca="false">J14*(1-Annahmen!$B$17)+K11*Annahmen!$B$12/(1-Annahmen!$B$15*(1-K6))</f>
        <v>5.26742435210918</v>
      </c>
      <c r="L14" s="22" t="n">
        <f aca="false">K14*(1-Annahmen!$B$17)+L11*Annahmen!$B$12/(1-Annahmen!$B$15*(1-L6))</f>
        <v>5.71475010858809</v>
      </c>
      <c r="M14" s="22" t="n">
        <f aca="false">L14*(1-Annahmen!$B$17)+M11*Annahmen!$B$12/(1-Annahmen!$B$15*(1-M6))</f>
        <v>6.15760260750221</v>
      </c>
      <c r="N14" s="22" t="n">
        <f aca="false">M14*(1-Annahmen!$B$17)+N11*Annahmen!$B$12/(1-Annahmen!$B$15*(1-N6))</f>
        <v>6.59602658142719</v>
      </c>
      <c r="O14" s="22" t="n">
        <f aca="false">N14*(1-Annahmen!$B$17)+O11*Annahmen!$B$12/(1-Annahmen!$B$15*(1-O6))</f>
        <v>7.03006631561291</v>
      </c>
      <c r="P14" s="22" t="n">
        <f aca="false">O14*(1-Annahmen!$B$17)+P11*Annahmen!$B$12/(1-Annahmen!$B$15*(1-P6))</f>
        <v>7.45976565245679</v>
      </c>
      <c r="Q14" s="22" t="n">
        <f aca="false">P14*(1-Annahmen!$B$17)+Q11*Annahmen!$B$12/(1-Annahmen!$B$15*(1-Q6))</f>
        <v>7.88516799593222</v>
      </c>
      <c r="R14" s="22" t="n">
        <f aca="false">Q14*(1-Annahmen!$B$17)+R11*Annahmen!$B$12/(1-Annahmen!$B$15*(1-R6))</f>
        <v>8.3063163159729</v>
      </c>
      <c r="S14" s="22" t="n">
        <f aca="false">R14*(1-Annahmen!$B$17)+S11*Annahmen!$B$12/(1-Annahmen!$B$15*(1-S6))</f>
        <v>8.72325315281317</v>
      </c>
      <c r="T14" s="22" t="n">
        <f aca="false">S14*(1-Annahmen!$B$17)+T11*Annahmen!$B$12/(1-Annahmen!$B$15*(1-T6))</f>
        <v>9.13602062128503</v>
      </c>
      <c r="U14" s="22" t="n">
        <f aca="false">T14*(1-Annahmen!$B$17)+U11*Annahmen!$B$12/(1-Annahmen!$B$15*(1-U6))</f>
        <v>9.54466041507218</v>
      </c>
      <c r="V14" s="22" t="n">
        <f aca="false">U14*(1-Annahmen!$B$17)+V11*Annahmen!$B$12/(1-Annahmen!$B$15*(1-V6))</f>
        <v>9.94921381092146</v>
      </c>
      <c r="W14" s="22" t="n">
        <f aca="false">V14*(1-Annahmen!$B$17)+W11*Annahmen!$B$12/(1-Annahmen!$B$15*(1-W6))</f>
        <v>10.3497216728122</v>
      </c>
      <c r="X14" s="22" t="n">
        <f aca="false">W14*(1-Annahmen!$B$17)+X11*Annahmen!$B$12/(1-Annahmen!$B$15*(1-X6))</f>
        <v>10.7462244560841</v>
      </c>
      <c r="Y14" s="22" t="n">
        <f aca="false">X14*(1-Annahmen!$B$17)+Y11*Annahmen!$B$12/(1-Annahmen!$B$15*(1-Y6))</f>
        <v>11.1387622115233</v>
      </c>
    </row>
    <row r="15" customFormat="false" ht="15" hidden="false" customHeight="false" outlineLevel="0" collapsed="false">
      <c r="A15" s="5" t="s">
        <v>139</v>
      </c>
      <c r="B15" s="22" t="n">
        <f aca="false">0*(1-Annahmen!$B$18)+B11*Annahmen!$B$13/(1-Annahmen!$B$15*(1-B6))</f>
        <v>0.333333333333333</v>
      </c>
      <c r="C15" s="22" t="n">
        <f aca="false">B15*(1-Annahmen!$B$18)+C11*Annahmen!$B$13/(1-Annahmen!$B$15*(1-C6))</f>
        <v>0.66</v>
      </c>
      <c r="D15" s="22" t="n">
        <f aca="false">C15*(1-Annahmen!$B$18)+D11*Annahmen!$B$13/(1-Annahmen!$B$15*(1-D6))</f>
        <v>1.31346666666667</v>
      </c>
      <c r="E15" s="22" t="n">
        <f aca="false">D15*(1-Annahmen!$B$18)+E11*Annahmen!$B$13/(1-Annahmen!$B$15*(1-E6))</f>
        <v>1.953864</v>
      </c>
      <c r="F15" s="22" t="n">
        <f aca="false">E15*(1-Annahmen!$B$18)+F11*Annahmen!$B$13/(1-Annahmen!$B$15*(1-F6))</f>
        <v>2.58145338666667</v>
      </c>
      <c r="G15" s="22" t="n">
        <f aca="false">F15*(1-Annahmen!$B$18)+G11*Annahmen!$B$13/(1-Annahmen!$B$15*(1-G6))</f>
        <v>3.1964909856</v>
      </c>
      <c r="H15" s="22" t="n">
        <f aca="false">G15*(1-Annahmen!$B$18)+H11*Annahmen!$B$13/(1-Annahmen!$B$15*(1-H6))</f>
        <v>3.79922783255467</v>
      </c>
      <c r="I15" s="22" t="n">
        <f aca="false">H15*(1-Annahmen!$B$18)+I11*Annahmen!$B$13/(1-Annahmen!$B$15*(1-I6))</f>
        <v>4.22324327590357</v>
      </c>
      <c r="J15" s="22" t="n">
        <f aca="false">I15*(1-Annahmen!$B$18)+J11*Annahmen!$B$13/(1-Annahmen!$B$15*(1-J6))</f>
        <v>4.6387784103855</v>
      </c>
      <c r="K15" s="22" t="n">
        <f aca="false">J15*(1-Annahmen!$B$18)+K11*Annahmen!$B$13/(1-Annahmen!$B$15*(1-K6))</f>
        <v>5.04600284217779</v>
      </c>
      <c r="L15" s="22" t="n">
        <f aca="false">K15*(1-Annahmen!$B$18)+L11*Annahmen!$B$13/(1-Annahmen!$B$15*(1-L6))</f>
        <v>5.44508278533424</v>
      </c>
      <c r="M15" s="22" t="n">
        <f aca="false">L15*(1-Annahmen!$B$18)+M11*Annahmen!$B$13/(1-Annahmen!$B$15*(1-M6))</f>
        <v>5.83618112962755</v>
      </c>
      <c r="N15" s="22" t="n">
        <f aca="false">M15*(1-Annahmen!$B$18)+N11*Annahmen!$B$13/(1-Annahmen!$B$15*(1-N6))</f>
        <v>6.219457507035</v>
      </c>
      <c r="O15" s="22" t="n">
        <f aca="false">N15*(1-Annahmen!$B$18)+O11*Annahmen!$B$13/(1-Annahmen!$B$15*(1-O6))</f>
        <v>6.5950683568943</v>
      </c>
      <c r="P15" s="22" t="n">
        <f aca="false">O15*(1-Annahmen!$B$18)+P11*Annahmen!$B$13/(1-Annahmen!$B$15*(1-P6))</f>
        <v>6.96316698975641</v>
      </c>
      <c r="Q15" s="22" t="n">
        <f aca="false">P15*(1-Annahmen!$B$18)+Q11*Annahmen!$B$13/(1-Annahmen!$B$15*(1-Q6))</f>
        <v>7.32390364996128</v>
      </c>
      <c r="R15" s="22" t="n">
        <f aca="false">Q15*(1-Annahmen!$B$18)+R11*Annahmen!$B$13/(1-Annahmen!$B$15*(1-R6))</f>
        <v>7.67742557696206</v>
      </c>
      <c r="S15" s="22" t="n">
        <f aca="false">R15*(1-Annahmen!$B$18)+S11*Annahmen!$B$13/(1-Annahmen!$B$15*(1-S6))</f>
        <v>8.02387706542282</v>
      </c>
      <c r="T15" s="22" t="n">
        <f aca="false">S15*(1-Annahmen!$B$18)+T11*Annahmen!$B$13/(1-Annahmen!$B$15*(1-T6))</f>
        <v>8.36339952411436</v>
      </c>
      <c r="U15" s="22" t="n">
        <f aca="false">T15*(1-Annahmen!$B$18)+U11*Annahmen!$B$13/(1-Annahmen!$B$15*(1-U6))</f>
        <v>8.69613153363207</v>
      </c>
      <c r="V15" s="22" t="n">
        <f aca="false">U15*(1-Annahmen!$B$18)+V11*Annahmen!$B$13/(1-Annahmen!$B$15*(1-V6))</f>
        <v>9.02220890295943</v>
      </c>
      <c r="W15" s="22" t="n">
        <f aca="false">V15*(1-Annahmen!$B$18)+W11*Annahmen!$B$13/(1-Annahmen!$B$15*(1-W6))</f>
        <v>9.34176472490024</v>
      </c>
      <c r="X15" s="22" t="n">
        <f aca="false">W15*(1-Annahmen!$B$18)+X11*Annahmen!$B$13/(1-Annahmen!$B$15*(1-X6))</f>
        <v>9.65492943040224</v>
      </c>
      <c r="Y15" s="22" t="n">
        <f aca="false">X15*(1-Annahmen!$B$18)+Y11*Annahmen!$B$13/(1-Annahmen!$B$15*(1-Y6))</f>
        <v>9.96183084179419</v>
      </c>
    </row>
    <row r="16" customFormat="false" ht="15" hidden="false" customHeight="false" outlineLevel="0" collapsed="false">
      <c r="A16" s="5" t="s">
        <v>140</v>
      </c>
      <c r="B16" s="22" t="n">
        <f aca="false">0*(1-Annahmen!$B$19)+B11*Annahmen!$B$14/(1-Annahmen!$B$15*(1-B6))</f>
        <v>0.333333333333333</v>
      </c>
      <c r="C16" s="22" t="n">
        <f aca="false">B16*(1-Annahmen!$B$19)+C11*Annahmen!$B$14/(1-Annahmen!$B$15*(1-C6))</f>
        <v>0.656666666666667</v>
      </c>
      <c r="D16" s="22" t="n">
        <f aca="false">C16*(1-Annahmen!$B$19)+D11*Annahmen!$B$14/(1-Annahmen!$B$15*(1-D6))</f>
        <v>1.30363333333333</v>
      </c>
      <c r="E16" s="22" t="n">
        <f aca="false">D16*(1-Annahmen!$B$19)+E11*Annahmen!$B$14/(1-Annahmen!$B$15*(1-E6))</f>
        <v>1.931191</v>
      </c>
      <c r="F16" s="22" t="n">
        <f aca="false">E16*(1-Annahmen!$B$19)+F11*Annahmen!$B$14/(1-Annahmen!$B$15*(1-F6))</f>
        <v>2.53992193666667</v>
      </c>
      <c r="G16" s="22" t="n">
        <f aca="false">F16*(1-Annahmen!$B$19)+G11*Annahmen!$B$14/(1-Annahmen!$B$15*(1-G6))</f>
        <v>3.13039094523333</v>
      </c>
      <c r="H16" s="22" t="n">
        <f aca="false">G16*(1-Annahmen!$B$19)+H11*Annahmen!$B$14/(1-Annahmen!$B$15*(1-H6))</f>
        <v>3.703145883543</v>
      </c>
      <c r="I16" s="22" t="n">
        <f aca="false">H16*(1-Annahmen!$B$19)+I11*Annahmen!$B$14/(1-Annahmen!$B$15*(1-I6))</f>
        <v>4.09205150703671</v>
      </c>
      <c r="J16" s="22" t="n">
        <f aca="false">I16*(1-Annahmen!$B$19)+J11*Annahmen!$B$14/(1-Annahmen!$B$15*(1-J6))</f>
        <v>4.46928996182561</v>
      </c>
      <c r="K16" s="22" t="n">
        <f aca="false">J16*(1-Annahmen!$B$19)+K11*Annahmen!$B$14/(1-Annahmen!$B$15*(1-K6))</f>
        <v>4.83521126297084</v>
      </c>
      <c r="L16" s="22" t="n">
        <f aca="false">K16*(1-Annahmen!$B$19)+L11*Annahmen!$B$14/(1-Annahmen!$B$15*(1-L6))</f>
        <v>5.19015492508171</v>
      </c>
      <c r="M16" s="22" t="n">
        <f aca="false">L16*(1-Annahmen!$B$19)+M11*Annahmen!$B$14/(1-Annahmen!$B$15*(1-M6))</f>
        <v>5.53445027732926</v>
      </c>
      <c r="N16" s="22" t="n">
        <f aca="false">M16*(1-Annahmen!$B$19)+N11*Annahmen!$B$14/(1-Annahmen!$B$15*(1-N6))</f>
        <v>5.86841676900938</v>
      </c>
      <c r="O16" s="22" t="n">
        <f aca="false">N16*(1-Annahmen!$B$19)+O11*Annahmen!$B$14/(1-Annahmen!$B$15*(1-O6))</f>
        <v>6.1923642659391</v>
      </c>
      <c r="P16" s="22" t="n">
        <f aca="false">O16*(1-Annahmen!$B$19)+P11*Annahmen!$B$14/(1-Annahmen!$B$15*(1-P6))</f>
        <v>6.50659333796093</v>
      </c>
      <c r="Q16" s="22" t="n">
        <f aca="false">P16*(1-Annahmen!$B$19)+Q11*Annahmen!$B$14/(1-Annahmen!$B$15*(1-Q6))</f>
        <v>6.8113955378221</v>
      </c>
      <c r="R16" s="22" t="n">
        <f aca="false">Q16*(1-Annahmen!$B$19)+R11*Annahmen!$B$14/(1-Annahmen!$B$15*(1-R6))</f>
        <v>7.10705367168744</v>
      </c>
      <c r="S16" s="22" t="n">
        <f aca="false">R16*(1-Annahmen!$B$19)+S11*Annahmen!$B$14/(1-Annahmen!$B$15*(1-S6))</f>
        <v>7.39384206153681</v>
      </c>
      <c r="T16" s="22" t="n">
        <f aca="false">S16*(1-Annahmen!$B$19)+T11*Annahmen!$B$14/(1-Annahmen!$B$15*(1-T6))</f>
        <v>7.67202679969071</v>
      </c>
      <c r="U16" s="22" t="n">
        <f aca="false">T16*(1-Annahmen!$B$19)+U11*Annahmen!$B$14/(1-Annahmen!$B$15*(1-U6))</f>
        <v>7.94186599569999</v>
      </c>
      <c r="V16" s="22" t="n">
        <f aca="false">U16*(1-Annahmen!$B$19)+V11*Annahmen!$B$14/(1-Annahmen!$B$15*(1-V6))</f>
        <v>8.20361001582899</v>
      </c>
      <c r="W16" s="22" t="n">
        <f aca="false">V16*(1-Annahmen!$B$19)+W11*Annahmen!$B$14/(1-Annahmen!$B$15*(1-W6))</f>
        <v>8.45750171535412</v>
      </c>
      <c r="X16" s="22" t="n">
        <f aca="false">W16*(1-Annahmen!$B$19)+X11*Annahmen!$B$14/(1-Annahmen!$B$15*(1-X6))</f>
        <v>8.7037766638935</v>
      </c>
      <c r="Y16" s="22" t="n">
        <f aca="false">X16*(1-Annahmen!$B$19)+Y11*Annahmen!$B$14/(1-Annahmen!$B$15*(1-Y6))</f>
        <v>8.94266336397669</v>
      </c>
    </row>
    <row r="17" customFormat="false" ht="15" hidden="false" customHeight="false" outlineLevel="0" collapsed="false">
      <c r="A17" s="5" t="s">
        <v>141</v>
      </c>
      <c r="B17" s="22" t="n">
        <f aca="false">0*(1-Annahmen!$B$20)+B11*Annahmen!$B$15*B6</f>
        <v>0</v>
      </c>
      <c r="C17" s="22" t="n">
        <f aca="false">B17*(1-Annahmen!$B$20)+C11*Annahmen!$B$15*C6</f>
        <v>0</v>
      </c>
      <c r="D17" s="22" t="n">
        <f aca="false">C17*(1-Annahmen!$B$20)+D11*Annahmen!$B$15*D6</f>
        <v>0</v>
      </c>
      <c r="E17" s="22" t="n">
        <f aca="false">D17*(1-Annahmen!$B$20)+E11*Annahmen!$B$15*E6</f>
        <v>0</v>
      </c>
      <c r="F17" s="22" t="n">
        <f aca="false">E17*(1-Annahmen!$B$20)+F11*Annahmen!$B$15*F6</f>
        <v>0</v>
      </c>
      <c r="G17" s="22" t="n">
        <f aca="false">F17*(1-Annahmen!$B$20)+G11*Annahmen!$B$15*G6</f>
        <v>0</v>
      </c>
      <c r="H17" s="22" t="n">
        <f aca="false">G17*(1-Annahmen!$B$20)+H11*Annahmen!$B$15*H6</f>
        <v>0</v>
      </c>
      <c r="I17" s="22" t="n">
        <f aca="false">H17*(1-Annahmen!$B$20)+I11*Annahmen!$B$15*I6</f>
        <v>0.5</v>
      </c>
      <c r="J17" s="22" t="n">
        <f aca="false">I17*(1-Annahmen!$B$20)+J11*Annahmen!$B$15*J6</f>
        <v>0.975</v>
      </c>
      <c r="K17" s="22" t="n">
        <f aca="false">J17*(1-Annahmen!$B$20)+K11*Annahmen!$B$15*K6</f>
        <v>1.42625</v>
      </c>
      <c r="L17" s="22" t="n">
        <f aca="false">K17*(1-Annahmen!$B$20)+L11*Annahmen!$B$15*L6</f>
        <v>1.8549375</v>
      </c>
      <c r="M17" s="22" t="n">
        <f aca="false">L17*(1-Annahmen!$B$20)+M11*Annahmen!$B$15*M6</f>
        <v>2.262190625</v>
      </c>
      <c r="N17" s="22" t="n">
        <f aca="false">M17*(1-Annahmen!$B$20)+N11*Annahmen!$B$15*N6</f>
        <v>2.64908109375</v>
      </c>
      <c r="O17" s="22" t="n">
        <f aca="false">N17*(1-Annahmen!$B$20)+O11*Annahmen!$B$15*O6</f>
        <v>3.0166270390625</v>
      </c>
      <c r="P17" s="22" t="n">
        <f aca="false">O17*(1-Annahmen!$B$20)+P11*Annahmen!$B$15*P6</f>
        <v>3.36579568710937</v>
      </c>
      <c r="Q17" s="22" t="n">
        <f aca="false">P17*(1-Annahmen!$B$20)+Q11*Annahmen!$B$15*Q6</f>
        <v>3.69750590275391</v>
      </c>
      <c r="R17" s="22" t="n">
        <f aca="false">Q17*(1-Annahmen!$B$20)+R11*Annahmen!$B$15*R6</f>
        <v>4.01263060761621</v>
      </c>
      <c r="S17" s="22" t="n">
        <f aca="false">R17*(1-Annahmen!$B$20)+S11*Annahmen!$B$15*S6</f>
        <v>4.3119990772354</v>
      </c>
      <c r="T17" s="22" t="n">
        <f aca="false">S17*(1-Annahmen!$B$20)+T11*Annahmen!$B$15*T6</f>
        <v>4.59639912337363</v>
      </c>
      <c r="U17" s="22" t="n">
        <f aca="false">T17*(1-Annahmen!$B$20)+U11*Annahmen!$B$15*U6</f>
        <v>4.86657916720495</v>
      </c>
      <c r="V17" s="22" t="n">
        <f aca="false">U17*(1-Annahmen!$B$20)+V11*Annahmen!$B$15*V6</f>
        <v>5.1232502088447</v>
      </c>
      <c r="W17" s="22" t="n">
        <f aca="false">V17*(1-Annahmen!$B$20)+W11*Annahmen!$B$15*W6</f>
        <v>5.36708769840247</v>
      </c>
      <c r="X17" s="22" t="n">
        <f aca="false">W17*(1-Annahmen!$B$20)+X11*Annahmen!$B$15*X6</f>
        <v>5.59873331348234</v>
      </c>
      <c r="Y17" s="22" t="n">
        <f aca="false">X17*(1-Annahmen!$B$20)+Y11*Annahmen!$B$15*Y6</f>
        <v>5.81879664780823</v>
      </c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customFormat="false" ht="15" hidden="false" customHeight="false" outlineLevel="0" collapsed="false">
      <c r="A19" s="7" t="s">
        <v>142</v>
      </c>
      <c r="B19" s="25" t="n">
        <f aca="false">B14*Annahmen!$B$6+B15*Annahmen!$B$7+B16*Annahmen!$B$9+B17*Annahmen!$B$10</f>
        <v>593</v>
      </c>
      <c r="C19" s="25" t="n">
        <f aca="false">C14*Annahmen!$B$6+C15*Annahmen!$B$7+C16*Annahmen!$B$9+C17*Annahmen!$B$10</f>
        <v>1172.63666666667</v>
      </c>
      <c r="D19" s="25" t="n">
        <f aca="false">D14*Annahmen!$B$6+D15*Annahmen!$B$7+D16*Annahmen!$B$9+D17*Annahmen!$B$10</f>
        <v>2332.22696666667</v>
      </c>
      <c r="E19" s="25" t="n">
        <f aca="false">E14*Annahmen!$B$6+E15*Annahmen!$B$7+E16*Annahmen!$B$9+E17*Annahmen!$B$10</f>
        <v>3465.716657</v>
      </c>
      <c r="F19" s="25" t="n">
        <f aca="false">F14*Annahmen!$B$6+F15*Annahmen!$B$7+F16*Annahmen!$B$9+F17*Annahmen!$B$10</f>
        <v>4573.72412243</v>
      </c>
      <c r="G19" s="25" t="n">
        <f aca="false">G14*Annahmen!$B$6+G15*Annahmen!$B$7+G16*Annahmen!$B$9+G17*Annahmen!$B$10</f>
        <v>5656.85239776303</v>
      </c>
      <c r="H19" s="25" t="n">
        <f aca="false">H14*Annahmen!$B$6+H15*Annahmen!$B$7+H16*Annahmen!$B$9+H17*Annahmen!$B$10</f>
        <v>6715.68956522634</v>
      </c>
      <c r="I19" s="25" t="n">
        <f aca="false">I14*Annahmen!$B$6+I15*Annahmen!$B$7+I16*Annahmen!$B$9+I17*Annahmen!$B$10</f>
        <v>7849.30914117782</v>
      </c>
      <c r="J19" s="25" t="n">
        <f aca="false">J14*Annahmen!$B$6+J15*Annahmen!$B$7+J16*Annahmen!$B$9+J17*Annahmen!$B$10</f>
        <v>8946.70211910961</v>
      </c>
      <c r="K19" s="25" t="n">
        <f aca="false">K14*Annahmen!$B$6+K15*Annahmen!$B$7+K16*Annahmen!$B$9+K17*Annahmen!$B$10</f>
        <v>10009.2430192319</v>
      </c>
      <c r="L19" s="25" t="n">
        <f aca="false">L14*Annahmen!$B$6+L15*Annahmen!$B$7+L16*Annahmen!$B$9+L17*Annahmen!$B$10</f>
        <v>11038.2474580828</v>
      </c>
      <c r="M19" s="25" t="n">
        <f aca="false">M14*Annahmen!$B$6+M15*Annahmen!$B$7+M16*Annahmen!$B$9+M17*Annahmen!$B$10</f>
        <v>12034.9748621357</v>
      </c>
      <c r="N19" s="25" t="n">
        <f aca="false">N14*Annahmen!$B$6+N15*Annahmen!$B$7+N16*Annahmen!$B$9+N17*Annahmen!$B$10</f>
        <v>13000.6310514375</v>
      </c>
      <c r="O19" s="25" t="n">
        <f aca="false">O14*Annahmen!$B$6+O15*Annahmen!$B$7+O16*Annahmen!$B$9+O17*Annahmen!$B$10</f>
        <v>13936.3706996292</v>
      </c>
      <c r="P19" s="25" t="n">
        <f aca="false">P14*Annahmen!$B$6+P15*Annahmen!$B$7+P16*Annahmen!$B$9+P17*Annahmen!$B$10</f>
        <v>14843.2996763857</v>
      </c>
      <c r="Q19" s="25" t="n">
        <f aca="false">Q14*Annahmen!$B$6+Q15*Annahmen!$B$7+Q16*Annahmen!$B$9+Q17*Annahmen!$B$10</f>
        <v>15722.4772780163</v>
      </c>
      <c r="R19" s="25" t="n">
        <f aca="false">R14*Annahmen!$B$6+R15*Annahmen!$B$7+R16*Annahmen!$B$9+R17*Annahmen!$B$10</f>
        <v>16574.9183516813</v>
      </c>
      <c r="S19" s="25" t="n">
        <f aca="false">S14*Annahmen!$B$6+S15*Annahmen!$B$7+S16*Annahmen!$B$9+S17*Annahmen!$B$10</f>
        <v>17401.5953184124</v>
      </c>
      <c r="T19" s="25" t="n">
        <f aca="false">T14*Annahmen!$B$6+T15*Annahmen!$B$7+T16*Annahmen!$B$9+T17*Annahmen!$B$10</f>
        <v>18203.4400998691</v>
      </c>
      <c r="U19" s="25" t="n">
        <f aca="false">U14*Annahmen!$B$6+U15*Annahmen!$B$7+U16*Annahmen!$B$9+U17*Annahmen!$B$10</f>
        <v>18981.3459535181</v>
      </c>
      <c r="V19" s="25" t="n">
        <f aca="false">V14*Annahmen!$B$6+V15*Annahmen!$B$7+V16*Annahmen!$B$9+V17*Annahmen!$B$10</f>
        <v>19736.1692206937</v>
      </c>
      <c r="W19" s="25" t="n">
        <f aca="false">W14*Annahmen!$B$6+W15*Annahmen!$B$7+W16*Annahmen!$B$9+W17*Annahmen!$B$10</f>
        <v>20468.7309917774</v>
      </c>
      <c r="X19" s="25" t="n">
        <f aca="false">X14*Annahmen!$B$6+X15*Annahmen!$B$7+X16*Annahmen!$B$9+X17*Annahmen!$B$10</f>
        <v>21179.8186925241</v>
      </c>
      <c r="Y19" s="25" t="n">
        <f aca="false">Y14*Annahmen!$B$6+Y15*Annahmen!$B$7+Y16*Annahmen!$B$9+Y17*Annahmen!$B$10</f>
        <v>21870.1875953666</v>
      </c>
    </row>
    <row r="20" customFormat="false" ht="15" hidden="false" customHeight="false" outlineLevel="0" collapsed="false">
      <c r="A20" s="5" t="s">
        <v>143</v>
      </c>
      <c r="B20" s="26" t="n">
        <f aca="false">B11*(Annahmen!$B$12/(1-Annahmen!$B$15*(1-B6))*Annahmen!$B$5+Annahmen!$B$13/(1-Annahmen!$B$15*(1-B6))*Annahmen!$B$8+Annahmen!$B$15*B6*Annahmen!$B$11)</f>
        <v>1230</v>
      </c>
      <c r="C20" s="26" t="n">
        <f aca="false">C11*(Annahmen!$B$12/(1-Annahmen!$B$15*(1-C6))*Annahmen!$B$5+Annahmen!$B$13/(1-Annahmen!$B$15*(1-C6))*Annahmen!$B$8+Annahmen!$B$15*C6*Annahmen!$B$11)</f>
        <v>1230</v>
      </c>
      <c r="D20" s="26" t="n">
        <f aca="false">D11*(Annahmen!$B$12/(1-Annahmen!$B$15*(1-D6))*Annahmen!$B$5+Annahmen!$B$13/(1-Annahmen!$B$15*(1-D6))*Annahmen!$B$8+Annahmen!$B$15*D6*Annahmen!$B$11)</f>
        <v>2460</v>
      </c>
      <c r="E20" s="26" t="n">
        <f aca="false">E11*(Annahmen!$B$12/(1-Annahmen!$B$15*(1-E6))*Annahmen!$B$5+Annahmen!$B$13/(1-Annahmen!$B$15*(1-E6))*Annahmen!$B$8+Annahmen!$B$15*E6*Annahmen!$B$11)</f>
        <v>2460</v>
      </c>
      <c r="F20" s="26" t="n">
        <f aca="false">F11*(Annahmen!$B$12/(1-Annahmen!$B$15*(1-F6))*Annahmen!$B$5+Annahmen!$B$13/(1-Annahmen!$B$15*(1-F6))*Annahmen!$B$8+Annahmen!$B$15*F6*Annahmen!$B$11)</f>
        <v>2460</v>
      </c>
      <c r="G20" s="26" t="n">
        <f aca="false">G11*(Annahmen!$B$12/(1-Annahmen!$B$15*(1-G6))*Annahmen!$B$5+Annahmen!$B$13/(1-Annahmen!$B$15*(1-G6))*Annahmen!$B$8+Annahmen!$B$15*G6*Annahmen!$B$11)</f>
        <v>2460</v>
      </c>
      <c r="H20" s="26" t="n">
        <f aca="false">H11*(Annahmen!$B$12/(1-Annahmen!$B$15*(1-H6))*Annahmen!$B$5+Annahmen!$B$13/(1-Annahmen!$B$15*(1-H6))*Annahmen!$B$8+Annahmen!$B$15*H6*Annahmen!$B$11)</f>
        <v>2460</v>
      </c>
      <c r="I20" s="26" t="n">
        <f aca="false">I11*(Annahmen!$B$12/(1-Annahmen!$B$15*(1-I6))*Annahmen!$B$5+Annahmen!$B$13/(1-Annahmen!$B$15*(1-I6))*Annahmen!$B$8+Annahmen!$B$15*I6*Annahmen!$B$11)</f>
        <v>2590</v>
      </c>
      <c r="J20" s="26" t="n">
        <f aca="false">J11*(Annahmen!$B$12/(1-Annahmen!$B$15*(1-J6))*Annahmen!$B$5+Annahmen!$B$13/(1-Annahmen!$B$15*(1-J6))*Annahmen!$B$8+Annahmen!$B$15*J6*Annahmen!$B$11)</f>
        <v>2590</v>
      </c>
      <c r="K20" s="26" t="n">
        <f aca="false">K11*(Annahmen!$B$12/(1-Annahmen!$B$15*(1-K6))*Annahmen!$B$5+Annahmen!$B$13/(1-Annahmen!$B$15*(1-K6))*Annahmen!$B$8+Annahmen!$B$15*K6*Annahmen!$B$11)</f>
        <v>2590</v>
      </c>
      <c r="L20" s="26" t="n">
        <f aca="false">L11*(Annahmen!$B$12/(1-Annahmen!$B$15*(1-L6))*Annahmen!$B$5+Annahmen!$B$13/(1-Annahmen!$B$15*(1-L6))*Annahmen!$B$8+Annahmen!$B$15*L6*Annahmen!$B$11)</f>
        <v>2590</v>
      </c>
      <c r="M20" s="26" t="n">
        <f aca="false">M11*(Annahmen!$B$12/(1-Annahmen!$B$15*(1-M6))*Annahmen!$B$5+Annahmen!$B$13/(1-Annahmen!$B$15*(1-M6))*Annahmen!$B$8+Annahmen!$B$15*M6*Annahmen!$B$11)</f>
        <v>2590</v>
      </c>
      <c r="N20" s="26" t="n">
        <f aca="false">N11*(Annahmen!$B$12/(1-Annahmen!$B$15*(1-N6))*Annahmen!$B$5+Annahmen!$B$13/(1-Annahmen!$B$15*(1-N6))*Annahmen!$B$8+Annahmen!$B$15*N6*Annahmen!$B$11)</f>
        <v>2590</v>
      </c>
      <c r="O20" s="26" t="n">
        <f aca="false">O11*(Annahmen!$B$12/(1-Annahmen!$B$15*(1-O6))*Annahmen!$B$5+Annahmen!$B$13/(1-Annahmen!$B$15*(1-O6))*Annahmen!$B$8+Annahmen!$B$15*O6*Annahmen!$B$11)</f>
        <v>2590</v>
      </c>
      <c r="P20" s="26" t="n">
        <f aca="false">P11*(Annahmen!$B$12/(1-Annahmen!$B$15*(1-P6))*Annahmen!$B$5+Annahmen!$B$13/(1-Annahmen!$B$15*(1-P6))*Annahmen!$B$8+Annahmen!$B$15*P6*Annahmen!$B$11)</f>
        <v>2590</v>
      </c>
      <c r="Q20" s="26" t="n">
        <f aca="false">Q11*(Annahmen!$B$12/(1-Annahmen!$B$15*(1-Q6))*Annahmen!$B$5+Annahmen!$B$13/(1-Annahmen!$B$15*(1-Q6))*Annahmen!$B$8+Annahmen!$B$15*Q6*Annahmen!$B$11)</f>
        <v>2590</v>
      </c>
      <c r="R20" s="26" t="n">
        <f aca="false">R11*(Annahmen!$B$12/(1-Annahmen!$B$15*(1-R6))*Annahmen!$B$5+Annahmen!$B$13/(1-Annahmen!$B$15*(1-R6))*Annahmen!$B$8+Annahmen!$B$15*R6*Annahmen!$B$11)</f>
        <v>2590</v>
      </c>
      <c r="S20" s="26" t="n">
        <f aca="false">S11*(Annahmen!$B$12/(1-Annahmen!$B$15*(1-S6))*Annahmen!$B$5+Annahmen!$B$13/(1-Annahmen!$B$15*(1-S6))*Annahmen!$B$8+Annahmen!$B$15*S6*Annahmen!$B$11)</f>
        <v>2590</v>
      </c>
      <c r="T20" s="26" t="n">
        <f aca="false">T11*(Annahmen!$B$12/(1-Annahmen!$B$15*(1-T6))*Annahmen!$B$5+Annahmen!$B$13/(1-Annahmen!$B$15*(1-T6))*Annahmen!$B$8+Annahmen!$B$15*T6*Annahmen!$B$11)</f>
        <v>2590</v>
      </c>
      <c r="U20" s="26" t="n">
        <f aca="false">U11*(Annahmen!$B$12/(1-Annahmen!$B$15*(1-U6))*Annahmen!$B$5+Annahmen!$B$13/(1-Annahmen!$B$15*(1-U6))*Annahmen!$B$8+Annahmen!$B$15*U6*Annahmen!$B$11)</f>
        <v>2590</v>
      </c>
      <c r="V20" s="26" t="n">
        <f aca="false">V11*(Annahmen!$B$12/(1-Annahmen!$B$15*(1-V6))*Annahmen!$B$5+Annahmen!$B$13/(1-Annahmen!$B$15*(1-V6))*Annahmen!$B$8+Annahmen!$B$15*V6*Annahmen!$B$11)</f>
        <v>2590</v>
      </c>
      <c r="W20" s="26" t="n">
        <f aca="false">W11*(Annahmen!$B$12/(1-Annahmen!$B$15*(1-W6))*Annahmen!$B$5+Annahmen!$B$13/(1-Annahmen!$B$15*(1-W6))*Annahmen!$B$8+Annahmen!$B$15*W6*Annahmen!$B$11)</f>
        <v>2590</v>
      </c>
      <c r="X20" s="26" t="n">
        <f aca="false">X11*(Annahmen!$B$12/(1-Annahmen!$B$15*(1-X6))*Annahmen!$B$5+Annahmen!$B$13/(1-Annahmen!$B$15*(1-X6))*Annahmen!$B$8+Annahmen!$B$15*X6*Annahmen!$B$11)</f>
        <v>2590</v>
      </c>
      <c r="Y20" s="26" t="n">
        <f aca="false">Y11*(Annahmen!$B$12/(1-Annahmen!$B$15*(1-Y6))*Annahmen!$B$5+Annahmen!$B$13/(1-Annahmen!$B$15*(1-Y6))*Annahmen!$B$8+Annahmen!$B$15*Y6*Annahmen!$B$11)</f>
        <v>2590</v>
      </c>
    </row>
    <row r="21" customFormat="false" ht="15" hidden="false" customHeight="false" outlineLevel="0" collapsed="false">
      <c r="A21" s="7" t="s">
        <v>144</v>
      </c>
      <c r="B21" s="25" t="n">
        <f aca="false">B19+B20</f>
        <v>1823</v>
      </c>
      <c r="C21" s="25" t="n">
        <f aca="false">C19+C20</f>
        <v>2402.63666666667</v>
      </c>
      <c r="D21" s="25" t="n">
        <f aca="false">D19+D20</f>
        <v>4792.22696666667</v>
      </c>
      <c r="E21" s="25" t="n">
        <f aca="false">E19+E20</f>
        <v>5925.716657</v>
      </c>
      <c r="F21" s="25" t="n">
        <f aca="false">F19+F20</f>
        <v>7033.72412243</v>
      </c>
      <c r="G21" s="25" t="n">
        <f aca="false">G19+G20</f>
        <v>8116.85239776303</v>
      </c>
      <c r="H21" s="25" t="n">
        <f aca="false">H19+H20</f>
        <v>9175.68956522634</v>
      </c>
      <c r="I21" s="25" t="n">
        <f aca="false">I19+I20</f>
        <v>10439.3091411778</v>
      </c>
      <c r="J21" s="25" t="n">
        <f aca="false">J19+J20</f>
        <v>11536.7021191096</v>
      </c>
      <c r="K21" s="25" t="n">
        <f aca="false">K19+K20</f>
        <v>12599.2430192319</v>
      </c>
      <c r="L21" s="25" t="n">
        <f aca="false">L19+L20</f>
        <v>13628.2474580828</v>
      </c>
      <c r="M21" s="25" t="n">
        <f aca="false">M19+M20</f>
        <v>14624.9748621357</v>
      </c>
      <c r="N21" s="25" t="n">
        <f aca="false">N19+N20</f>
        <v>15590.6310514375</v>
      </c>
      <c r="O21" s="25" t="n">
        <f aca="false">O19+O20</f>
        <v>16526.3706996292</v>
      </c>
      <c r="P21" s="25" t="n">
        <f aca="false">P19+P20</f>
        <v>17433.2996763857</v>
      </c>
      <c r="Q21" s="25" t="n">
        <f aca="false">Q19+Q20</f>
        <v>18312.4772780163</v>
      </c>
      <c r="R21" s="25" t="n">
        <f aca="false">R19+R20</f>
        <v>19164.9183516813</v>
      </c>
      <c r="S21" s="25" t="n">
        <f aca="false">S19+S20</f>
        <v>19991.5953184124</v>
      </c>
      <c r="T21" s="25" t="n">
        <f aca="false">T19+T20</f>
        <v>20793.4400998691</v>
      </c>
      <c r="U21" s="25" t="n">
        <f aca="false">U19+U20</f>
        <v>21571.3459535181</v>
      </c>
      <c r="V21" s="25" t="n">
        <f aca="false">V19+V20</f>
        <v>22326.1692206937</v>
      </c>
      <c r="W21" s="25" t="n">
        <f aca="false">W19+W20</f>
        <v>23058.7309917774</v>
      </c>
      <c r="X21" s="25" t="n">
        <f aca="false">X19+X20</f>
        <v>23769.8186925241</v>
      </c>
      <c r="Y21" s="25" t="n">
        <f aca="false">Y19+Y20</f>
        <v>24460.1875953666</v>
      </c>
    </row>
    <row r="22" customFormat="false" ht="15" hidden="false" customHeight="false" outlineLevel="0" collapsed="false">
      <c r="A22" s="5" t="s">
        <v>145</v>
      </c>
      <c r="B22" s="26" t="n">
        <f aca="false">Annahmen!$B$42+Annahmen!$B$43+B7*Annahmen!$B$40</f>
        <v>355</v>
      </c>
      <c r="C22" s="26" t="n">
        <f aca="false">Annahmen!$B$42+Annahmen!$B$43+C7*Annahmen!$B$40</f>
        <v>355</v>
      </c>
      <c r="D22" s="26" t="n">
        <f aca="false">Annahmen!$B$42+Annahmen!$B$43+D7*Annahmen!$B$40</f>
        <v>355</v>
      </c>
      <c r="E22" s="26" t="n">
        <f aca="false">Annahmen!$B$42+Annahmen!$B$43+E7*Annahmen!$B$40</f>
        <v>505</v>
      </c>
      <c r="F22" s="26" t="n">
        <f aca="false">Annahmen!$B$42+Annahmen!$B$43+F7*Annahmen!$B$40</f>
        <v>505</v>
      </c>
      <c r="G22" s="26" t="n">
        <f aca="false">Annahmen!$B$42+Annahmen!$B$43+G7*Annahmen!$B$40</f>
        <v>505</v>
      </c>
      <c r="H22" s="26" t="n">
        <f aca="false">Annahmen!$B$42+Annahmen!$B$43+H7*Annahmen!$B$40</f>
        <v>505</v>
      </c>
      <c r="I22" s="26" t="n">
        <f aca="false">Annahmen!$B$42+Annahmen!$B$43+I7*Annahmen!$B$40</f>
        <v>505</v>
      </c>
      <c r="J22" s="26" t="n">
        <f aca="false">Annahmen!$B$42+Annahmen!$B$43+J7*Annahmen!$B$40</f>
        <v>505</v>
      </c>
      <c r="K22" s="26" t="n">
        <f aca="false">Annahmen!$B$42+Annahmen!$B$43+K7*Annahmen!$B$40</f>
        <v>505</v>
      </c>
      <c r="L22" s="26" t="n">
        <f aca="false">Annahmen!$B$42+Annahmen!$B$43+L7*Annahmen!$B$40</f>
        <v>505</v>
      </c>
      <c r="M22" s="26" t="n">
        <f aca="false">Annahmen!$B$42+Annahmen!$B$43+M7*Annahmen!$B$40</f>
        <v>505</v>
      </c>
      <c r="N22" s="26" t="n">
        <f aca="false">Annahmen!$B$42+Annahmen!$B$43+N7*Annahmen!$B$40</f>
        <v>505</v>
      </c>
      <c r="O22" s="26" t="n">
        <f aca="false">Annahmen!$B$42+Annahmen!$B$43+O7*Annahmen!$B$40</f>
        <v>505</v>
      </c>
      <c r="P22" s="26" t="n">
        <f aca="false">Annahmen!$B$42+Annahmen!$B$43+P7*Annahmen!$B$40</f>
        <v>505</v>
      </c>
      <c r="Q22" s="26" t="n">
        <f aca="false">Annahmen!$B$42+Annahmen!$B$43+Q7*Annahmen!$B$40</f>
        <v>505</v>
      </c>
      <c r="R22" s="26" t="n">
        <f aca="false">Annahmen!$B$42+Annahmen!$B$43+R7*Annahmen!$B$40</f>
        <v>505</v>
      </c>
      <c r="S22" s="26" t="n">
        <f aca="false">Annahmen!$B$42+Annahmen!$B$43+S7*Annahmen!$B$40</f>
        <v>505</v>
      </c>
      <c r="T22" s="26" t="n">
        <f aca="false">Annahmen!$B$42+Annahmen!$B$43+T7*Annahmen!$B$40</f>
        <v>505</v>
      </c>
      <c r="U22" s="26" t="n">
        <f aca="false">Annahmen!$B$42+Annahmen!$B$43+U7*Annahmen!$B$40</f>
        <v>505</v>
      </c>
      <c r="V22" s="26" t="n">
        <f aca="false">Annahmen!$B$42+Annahmen!$B$43+V7*Annahmen!$B$40</f>
        <v>505</v>
      </c>
      <c r="W22" s="26" t="n">
        <f aca="false">Annahmen!$B$42+Annahmen!$B$43+W7*Annahmen!$B$40</f>
        <v>505</v>
      </c>
      <c r="X22" s="26" t="n">
        <f aca="false">Annahmen!$B$42+Annahmen!$B$43+X7*Annahmen!$B$40</f>
        <v>505</v>
      </c>
      <c r="Y22" s="26" t="n">
        <f aca="false">Annahmen!$B$42+Annahmen!$B$43+Y7*Annahmen!$B$40</f>
        <v>505</v>
      </c>
    </row>
    <row r="23" customFormat="false" ht="15" hidden="false" customHeight="false" outlineLevel="0" collapsed="false">
      <c r="A23" s="7" t="s">
        <v>146</v>
      </c>
      <c r="B23" s="25" t="n">
        <f aca="false">B21-B22</f>
        <v>1468</v>
      </c>
      <c r="C23" s="25" t="n">
        <f aca="false">C21-C22</f>
        <v>2047.63666666667</v>
      </c>
      <c r="D23" s="25" t="n">
        <f aca="false">D21-D22</f>
        <v>4437.22696666667</v>
      </c>
      <c r="E23" s="25" t="n">
        <f aca="false">E21-E22</f>
        <v>5420.716657</v>
      </c>
      <c r="F23" s="25" t="n">
        <f aca="false">F21-F22</f>
        <v>6528.72412243</v>
      </c>
      <c r="G23" s="25" t="n">
        <f aca="false">G21-G22</f>
        <v>7611.85239776303</v>
      </c>
      <c r="H23" s="25" t="n">
        <f aca="false">H21-H22</f>
        <v>8670.68956522634</v>
      </c>
      <c r="I23" s="25" t="n">
        <f aca="false">I21-I22</f>
        <v>9934.30914117782</v>
      </c>
      <c r="J23" s="25" t="n">
        <f aca="false">J21-J22</f>
        <v>11031.7021191096</v>
      </c>
      <c r="K23" s="25" t="n">
        <f aca="false">K21-K22</f>
        <v>12094.2430192319</v>
      </c>
      <c r="L23" s="25" t="n">
        <f aca="false">L21-L22</f>
        <v>13123.2474580828</v>
      </c>
      <c r="M23" s="25" t="n">
        <f aca="false">M21-M22</f>
        <v>14119.9748621357</v>
      </c>
      <c r="N23" s="25" t="n">
        <f aca="false">N21-N22</f>
        <v>15085.6310514375</v>
      </c>
      <c r="O23" s="25" t="n">
        <f aca="false">O21-O22</f>
        <v>16021.3706996292</v>
      </c>
      <c r="P23" s="25" t="n">
        <f aca="false">P21-P22</f>
        <v>16928.2996763857</v>
      </c>
      <c r="Q23" s="25" t="n">
        <f aca="false">Q21-Q22</f>
        <v>17807.4772780163</v>
      </c>
      <c r="R23" s="25" t="n">
        <f aca="false">R21-R22</f>
        <v>18659.9183516813</v>
      </c>
      <c r="S23" s="25" t="n">
        <f aca="false">S21-S22</f>
        <v>19486.5953184124</v>
      </c>
      <c r="T23" s="25" t="n">
        <f aca="false">T21-T22</f>
        <v>20288.4400998691</v>
      </c>
      <c r="U23" s="25" t="n">
        <f aca="false">U21-U22</f>
        <v>21066.3459535181</v>
      </c>
      <c r="V23" s="25" t="n">
        <f aca="false">V21-V22</f>
        <v>21821.1692206937</v>
      </c>
      <c r="W23" s="25" t="n">
        <f aca="false">W21-W22</f>
        <v>22553.7309917774</v>
      </c>
      <c r="X23" s="25" t="n">
        <f aca="false">X21-X22</f>
        <v>23264.8186925241</v>
      </c>
      <c r="Y23" s="25" t="n">
        <f aca="false">Y21-Y22</f>
        <v>23955.1875953666</v>
      </c>
    </row>
    <row r="24" customFormat="false" ht="15" hidden="false" customHeight="false" outlineLevel="0" collapsed="false">
      <c r="A24" s="7" t="s">
        <v>147</v>
      </c>
      <c r="B24" s="16" t="n">
        <f aca="false">B23</f>
        <v>1468</v>
      </c>
      <c r="C24" s="16" t="n">
        <f aca="false">B24+C23</f>
        <v>3515.63666666667</v>
      </c>
      <c r="D24" s="16" t="n">
        <f aca="false">C24+D23</f>
        <v>7952.86363333333</v>
      </c>
      <c r="E24" s="16" t="n">
        <f aca="false">D24+E23</f>
        <v>13373.5802903333</v>
      </c>
      <c r="F24" s="16" t="n">
        <f aca="false">E24+F23</f>
        <v>19902.3044127633</v>
      </c>
      <c r="G24" s="16" t="n">
        <f aca="false">F24+G23</f>
        <v>27514.1568105264</v>
      </c>
      <c r="H24" s="16" t="n">
        <f aca="false">G24+H23</f>
        <v>36184.8463757527</v>
      </c>
      <c r="I24" s="16" t="n">
        <f aca="false">H24+I23</f>
        <v>46119.1555169305</v>
      </c>
      <c r="J24" s="16" t="n">
        <f aca="false">I24+J23</f>
        <v>57150.8576360401</v>
      </c>
      <c r="K24" s="16" t="n">
        <f aca="false">J24+K23</f>
        <v>69245.1006552721</v>
      </c>
      <c r="L24" s="16" t="n">
        <f aca="false">K24+L23</f>
        <v>82368.3481133549</v>
      </c>
      <c r="M24" s="16" t="n">
        <f aca="false">L24+M23</f>
        <v>96488.3229754906</v>
      </c>
      <c r="N24" s="16" t="n">
        <f aca="false">M24+N23</f>
        <v>111573.954026928</v>
      </c>
      <c r="O24" s="16" t="n">
        <f aca="false">N24+O23</f>
        <v>127595.324726557</v>
      </c>
      <c r="P24" s="16" t="n">
        <f aca="false">O24+P23</f>
        <v>144523.624402943</v>
      </c>
      <c r="Q24" s="16" t="n">
        <f aca="false">P24+Q23</f>
        <v>162331.101680959</v>
      </c>
      <c r="R24" s="16" t="n">
        <f aca="false">Q24+R23</f>
        <v>180991.020032641</v>
      </c>
      <c r="S24" s="16" t="n">
        <f aca="false">R24+S23</f>
        <v>200477.615351053</v>
      </c>
      <c r="T24" s="16" t="n">
        <f aca="false">S24+T23</f>
        <v>220766.055450922</v>
      </c>
      <c r="U24" s="16" t="n">
        <f aca="false">T24+U23</f>
        <v>241832.40140444</v>
      </c>
      <c r="V24" s="16" t="n">
        <f aca="false">U24+V23</f>
        <v>263653.570625134</v>
      </c>
      <c r="W24" s="16" t="n">
        <f aca="false">V24+W23</f>
        <v>286207.301616911</v>
      </c>
      <c r="X24" s="16" t="n">
        <f aca="false">W24+X23</f>
        <v>309472.120309435</v>
      </c>
      <c r="Y24" s="16" t="n">
        <f aca="false">X24+Y23</f>
        <v>333427.307904802</v>
      </c>
    </row>
    <row r="25" customFormat="false" ht="15" hidden="false" customHeight="false" outlineLevel="0" collapsed="false">
      <c r="A25" s="5" t="s">
        <v>148</v>
      </c>
      <c r="B25" s="22" t="n">
        <f aca="false">B9+B11*B8</f>
        <v>37.0833333333333</v>
      </c>
      <c r="C25" s="22" t="n">
        <f aca="false">C9+C11*C8</f>
        <v>43.5</v>
      </c>
      <c r="D25" s="22" t="n">
        <f aca="false">D9+D11*D8</f>
        <v>86.8525</v>
      </c>
      <c r="E25" s="22" t="n">
        <f aca="false">E9+E11*E8</f>
        <v>51.30417</v>
      </c>
      <c r="F25" s="22" t="n">
        <f aca="false">F9+F11*F8</f>
        <v>57.7349676333333</v>
      </c>
      <c r="G25" s="22" t="n">
        <f aca="false">G9+G11*G8</f>
        <v>64.018976017</v>
      </c>
      <c r="H25" s="22" t="n">
        <f aca="false">H9+H11*H8</f>
        <v>70.1596892035633</v>
      </c>
      <c r="I25" s="22" t="n">
        <f aca="false">I9+I11*I8</f>
        <v>74.643847819155</v>
      </c>
      <c r="J25" s="22" t="n">
        <f aca="false">J9+J11*J8</f>
        <v>80.8247746396721</v>
      </c>
      <c r="K25" s="22" t="n">
        <f aca="false">K9+K11*K8</f>
        <v>86.8108767735399</v>
      </c>
      <c r="L25" s="22" t="n">
        <f aca="false">L9+L11*L8</f>
        <v>92.609396119368</v>
      </c>
      <c r="M25" s="22" t="n">
        <f aca="false">M9+M11*M8</f>
        <v>98.2272692834436</v>
      </c>
      <c r="N25" s="22" t="n">
        <f aca="false">N9+N11*N8</f>
        <v>103.671141500131</v>
      </c>
      <c r="O25" s="22" t="n">
        <f aca="false">O9+O11*O8</f>
        <v>108.947379889416</v>
      </c>
      <c r="P25" s="22" t="n">
        <f aca="false">P9+P11*P8</f>
        <v>114.062086083889</v>
      </c>
      <c r="Q25" s="22" t="n">
        <f aca="false">Q9+Q11*Q8</f>
        <v>119.021108255861</v>
      </c>
      <c r="R25" s="22" t="n">
        <f aca="false">R9+R11*R8</f>
        <v>123.830052573804</v>
      </c>
      <c r="S25" s="22" t="n">
        <f aca="false">S9+S11*S8</f>
        <v>128.494294115859</v>
      </c>
      <c r="T25" s="22" t="n">
        <f aca="false">T9+T11*T8</f>
        <v>133.018987266793</v>
      </c>
      <c r="U25" s="22" t="n">
        <f aca="false">U9+U11*U8</f>
        <v>137.409075623496</v>
      </c>
      <c r="V25" s="22" t="n">
        <f aca="false">V9+V11*V8</f>
        <v>141.669301432851</v>
      </c>
      <c r="W25" s="22" t="n">
        <f aca="false">W9+W11*W8</f>
        <v>145.804214584674</v>
      </c>
      <c r="X25" s="22" t="n">
        <f aca="false">X9+X11*X8</f>
        <v>149.818181181255</v>
      </c>
      <c r="Y25" s="22" t="n">
        <f aca="false">Y9+Y11*Y8</f>
        <v>153.715391704034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5" min="2" style="0" width="10"/>
  </cols>
  <sheetData>
    <row r="1" customFormat="false" ht="17.35" hidden="false" customHeight="false" outlineLevel="0" collapsed="false">
      <c r="A1" s="1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" hidden="false" customHeight="false" outlineLevel="0" collapsed="false">
      <c r="A2" s="3" t="s">
        <v>128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5" hidden="false" customHeight="false" outlineLevel="0" collapsed="false">
      <c r="A4" s="4" t="s">
        <v>129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4" t="s">
        <v>35</v>
      </c>
      <c r="M4" s="4" t="s">
        <v>36</v>
      </c>
      <c r="N4" s="4" t="s">
        <v>37</v>
      </c>
      <c r="O4" s="4" t="s">
        <v>38</v>
      </c>
      <c r="P4" s="4" t="s">
        <v>39</v>
      </c>
      <c r="Q4" s="4" t="s">
        <v>40</v>
      </c>
      <c r="R4" s="4" t="s">
        <v>41</v>
      </c>
      <c r="S4" s="4" t="s">
        <v>42</v>
      </c>
      <c r="T4" s="4" t="s">
        <v>43</v>
      </c>
      <c r="U4" s="4" t="s">
        <v>44</v>
      </c>
      <c r="V4" s="4" t="s">
        <v>45</v>
      </c>
      <c r="W4" s="4" t="s">
        <v>46</v>
      </c>
      <c r="X4" s="4" t="s">
        <v>47</v>
      </c>
      <c r="Y4" s="4" t="s">
        <v>48</v>
      </c>
    </row>
    <row r="5" customFormat="false" ht="15" hidden="false" customHeight="false" outlineLevel="0" collapsed="false">
      <c r="A5" s="5" t="s">
        <v>130</v>
      </c>
      <c r="B5" s="22" t="n">
        <f aca="false">Annahmen!$C$48</f>
        <v>2</v>
      </c>
      <c r="C5" s="22" t="n">
        <f aca="false">Annahmen!$C$48</f>
        <v>2</v>
      </c>
      <c r="D5" s="22" t="n">
        <f aca="false">Annahmen!$C$49</f>
        <v>3</v>
      </c>
      <c r="E5" s="22" t="n">
        <f aca="false">Annahmen!$C$49</f>
        <v>3</v>
      </c>
      <c r="F5" s="22" t="n">
        <f aca="false">Annahmen!$C$49</f>
        <v>3</v>
      </c>
      <c r="G5" s="22" t="n">
        <f aca="false">Annahmen!$C$49</f>
        <v>3</v>
      </c>
      <c r="H5" s="22" t="n">
        <f aca="false">Annahmen!$C$49</f>
        <v>3</v>
      </c>
      <c r="I5" s="22" t="n">
        <f aca="false">Annahmen!$C$49</f>
        <v>3</v>
      </c>
      <c r="J5" s="22" t="n">
        <f aca="false">Annahmen!$C$49</f>
        <v>3</v>
      </c>
      <c r="K5" s="22" t="n">
        <f aca="false">Annahmen!$C$49</f>
        <v>3</v>
      </c>
      <c r="L5" s="22" t="n">
        <f aca="false">Annahmen!$C$49</f>
        <v>3</v>
      </c>
      <c r="M5" s="22" t="n">
        <f aca="false">Annahmen!$C$49</f>
        <v>3</v>
      </c>
      <c r="N5" s="22" t="n">
        <f aca="false">Annahmen!$C$49</f>
        <v>3</v>
      </c>
      <c r="O5" s="22" t="n">
        <f aca="false">Annahmen!$C$49</f>
        <v>3</v>
      </c>
      <c r="P5" s="22" t="n">
        <f aca="false">Annahmen!$C$49</f>
        <v>3</v>
      </c>
      <c r="Q5" s="22" t="n">
        <f aca="false">Annahmen!$C$49</f>
        <v>3</v>
      </c>
      <c r="R5" s="22" t="n">
        <f aca="false">Annahmen!$C$49</f>
        <v>3</v>
      </c>
      <c r="S5" s="22" t="n">
        <f aca="false">Annahmen!$C$49</f>
        <v>3</v>
      </c>
      <c r="T5" s="22" t="n">
        <f aca="false">Annahmen!$C$49</f>
        <v>3</v>
      </c>
      <c r="U5" s="22" t="n">
        <f aca="false">Annahmen!$C$49</f>
        <v>3</v>
      </c>
      <c r="V5" s="22" t="n">
        <f aca="false">Annahmen!$C$49</f>
        <v>3</v>
      </c>
      <c r="W5" s="22" t="n">
        <f aca="false">Annahmen!$C$49</f>
        <v>3</v>
      </c>
      <c r="X5" s="22" t="n">
        <f aca="false">Annahmen!$C$49</f>
        <v>3</v>
      </c>
      <c r="Y5" s="22" t="n">
        <f aca="false">Annahmen!$C$49</f>
        <v>3</v>
      </c>
    </row>
    <row r="6" customFormat="false" ht="15" hidden="false" customHeight="false" outlineLevel="0" collapsed="false">
      <c r="A6" s="5" t="s">
        <v>131</v>
      </c>
      <c r="B6" s="23" t="n">
        <f aca="false">IF(1&gt;=Annahmen!$B$16,1,0)</f>
        <v>0</v>
      </c>
      <c r="C6" s="23" t="n">
        <f aca="false">IF(2&gt;=Annahmen!$B$16,1,0)</f>
        <v>0</v>
      </c>
      <c r="D6" s="23" t="n">
        <f aca="false">IF(3&gt;=Annahmen!$B$16,1,0)</f>
        <v>0</v>
      </c>
      <c r="E6" s="23" t="n">
        <f aca="false">IF(4&gt;=Annahmen!$B$16,1,0)</f>
        <v>0</v>
      </c>
      <c r="F6" s="23" t="n">
        <f aca="false">IF(5&gt;=Annahmen!$B$16,1,0)</f>
        <v>0</v>
      </c>
      <c r="G6" s="23" t="n">
        <f aca="false">IF(6&gt;=Annahmen!$B$16,1,0)</f>
        <v>0</v>
      </c>
      <c r="H6" s="23" t="n">
        <f aca="false">IF(7&gt;=Annahmen!$B$16,1,0)</f>
        <v>0</v>
      </c>
      <c r="I6" s="23" t="n">
        <f aca="false">IF(8&gt;=Annahmen!$B$16,1,0)</f>
        <v>1</v>
      </c>
      <c r="J6" s="23" t="n">
        <f aca="false">IF(9&gt;=Annahmen!$B$16,1,0)</f>
        <v>1</v>
      </c>
      <c r="K6" s="23" t="n">
        <f aca="false">IF(10&gt;=Annahmen!$B$16,1,0)</f>
        <v>1</v>
      </c>
      <c r="L6" s="23" t="n">
        <f aca="false">IF(11&gt;=Annahmen!$B$16,1,0)</f>
        <v>1</v>
      </c>
      <c r="M6" s="23" t="n">
        <f aca="false">IF(12&gt;=Annahmen!$B$16,1,0)</f>
        <v>1</v>
      </c>
      <c r="N6" s="23" t="n">
        <f aca="false">IF(13&gt;=Annahmen!$B$16,1,0)</f>
        <v>1</v>
      </c>
      <c r="O6" s="23" t="n">
        <f aca="false">IF(14&gt;=Annahmen!$B$16,1,0)</f>
        <v>1</v>
      </c>
      <c r="P6" s="23" t="n">
        <f aca="false">IF(15&gt;=Annahmen!$B$16,1,0)</f>
        <v>1</v>
      </c>
      <c r="Q6" s="23" t="n">
        <f aca="false">IF(16&gt;=Annahmen!$B$16,1,0)</f>
        <v>1</v>
      </c>
      <c r="R6" s="23" t="n">
        <f aca="false">IF(17&gt;=Annahmen!$B$16,1,0)</f>
        <v>1</v>
      </c>
      <c r="S6" s="23" t="n">
        <f aca="false">IF(18&gt;=Annahmen!$B$16,1,0)</f>
        <v>1</v>
      </c>
      <c r="T6" s="23" t="n">
        <f aca="false">IF(19&gt;=Annahmen!$B$16,1,0)</f>
        <v>1</v>
      </c>
      <c r="U6" s="23" t="n">
        <f aca="false">IF(20&gt;=Annahmen!$B$16,1,0)</f>
        <v>1</v>
      </c>
      <c r="V6" s="23" t="n">
        <f aca="false">IF(21&gt;=Annahmen!$B$16,1,0)</f>
        <v>1</v>
      </c>
      <c r="W6" s="23" t="n">
        <f aca="false">IF(22&gt;=Annahmen!$B$16,1,0)</f>
        <v>1</v>
      </c>
      <c r="X6" s="23" t="n">
        <f aca="false">IF(23&gt;=Annahmen!$B$16,1,0)</f>
        <v>1</v>
      </c>
      <c r="Y6" s="23" t="n">
        <f aca="false">IF(24&gt;=Annahmen!$B$16,1,0)</f>
        <v>1</v>
      </c>
    </row>
    <row r="7" customFormat="false" ht="15" hidden="false" customHeight="false" outlineLevel="0" collapsed="false">
      <c r="A7" s="5" t="s">
        <v>132</v>
      </c>
      <c r="B7" s="23" t="n">
        <f aca="false">0</f>
        <v>0</v>
      </c>
      <c r="C7" s="23" t="n">
        <f aca="false">0</f>
        <v>0</v>
      </c>
      <c r="D7" s="23" t="n">
        <f aca="false">0</f>
        <v>0</v>
      </c>
      <c r="E7" s="23" t="n">
        <f aca="false">0</f>
        <v>0</v>
      </c>
      <c r="F7" s="23" t="n">
        <f aca="false">0</f>
        <v>0</v>
      </c>
      <c r="G7" s="23" t="n">
        <f aca="false">0</f>
        <v>0</v>
      </c>
      <c r="H7" s="23" t="n">
        <f aca="false">0</f>
        <v>0</v>
      </c>
      <c r="I7" s="23" t="n">
        <f aca="false">0</f>
        <v>0</v>
      </c>
      <c r="J7" s="23" t="n">
        <f aca="false">0</f>
        <v>0</v>
      </c>
      <c r="K7" s="23" t="n">
        <f aca="false">0</f>
        <v>0</v>
      </c>
      <c r="L7" s="23" t="n">
        <f aca="false">0</f>
        <v>0</v>
      </c>
      <c r="M7" s="23" t="n">
        <f aca="false">0</f>
        <v>0</v>
      </c>
      <c r="N7" s="23" t="n">
        <f aca="false">0</f>
        <v>0</v>
      </c>
      <c r="O7" s="23" t="n">
        <f aca="false">0</f>
        <v>0</v>
      </c>
      <c r="P7" s="23" t="n">
        <f aca="false">0</f>
        <v>0</v>
      </c>
      <c r="Q7" s="23" t="n">
        <f aca="false">0</f>
        <v>0</v>
      </c>
      <c r="R7" s="23" t="n">
        <f aca="false">0</f>
        <v>0</v>
      </c>
      <c r="S7" s="23" t="n">
        <f aca="false">0</f>
        <v>0</v>
      </c>
      <c r="T7" s="23" t="n">
        <f aca="false">0</f>
        <v>0</v>
      </c>
      <c r="U7" s="23" t="n">
        <f aca="false">0</f>
        <v>0</v>
      </c>
      <c r="V7" s="23" t="n">
        <f aca="false">0</f>
        <v>0</v>
      </c>
      <c r="W7" s="23" t="n">
        <f aca="false">0</f>
        <v>0</v>
      </c>
      <c r="X7" s="23" t="n">
        <f aca="false">0</f>
        <v>0</v>
      </c>
      <c r="Y7" s="23" t="n">
        <f aca="false">0</f>
        <v>0</v>
      </c>
    </row>
    <row r="8" customFormat="false" ht="15" hidden="false" customHeight="false" outlineLevel="0" collapsed="false">
      <c r="A8" s="5" t="s">
        <v>133</v>
      </c>
      <c r="B8" s="22" t="n">
        <f aca="false">Annahmen!$B$12/(1-Annahmen!$B$15*(1-B6))*((Annahmen!$B$21+B7*(Annahmen!$B$30-Annahmen!$B$21))+(Annahmen!$B$25+B7*(Annahmen!$B$34-Annahmen!$B$25))+(Annahmen!$B$29+B7*(Annahmen!$B$38-Annahmen!$B$29)))+Annahmen!$B$13/(1-Annahmen!$B$15*(1-B6))*((Annahmen!$B$22+B7*(Annahmen!$B$31-Annahmen!$B$22))+(Annahmen!$B$26+B7*(Annahmen!$B$35-Annahmen!$B$26))+(Annahmen!$B$29+B7*(Annahmen!$B$38-Annahmen!$B$29)))+Annahmen!$B$14/(1-Annahmen!$B$15*(1-B6))*((Annahmen!$B$23+B7*(Annahmen!$B$32-Annahmen!$B$23))+(Annahmen!$B$27+B7*(Annahmen!$B$36-Annahmen!$B$27))+(Annahmen!$B$29+B7*(Annahmen!$B$38-Annahmen!$B$29)))+Annahmen!$B$15*B6*((Annahmen!$B$24+B7*(Annahmen!$B$33-Annahmen!$B$24))+(Annahmen!$B$28+B7*(Annahmen!$B$37-Annahmen!$B$28))+(Annahmen!$B$29+B7*(Annahmen!$B$38-Annahmen!$B$29)))</f>
        <v>37.0833333333333</v>
      </c>
      <c r="C8" s="22" t="n">
        <f aca="false">Annahmen!$B$12/(1-Annahmen!$B$15*(1-C6))*((Annahmen!$B$21+C7*(Annahmen!$B$30-Annahmen!$B$21))+(Annahmen!$B$25+C7*(Annahmen!$B$34-Annahmen!$B$25))+(Annahmen!$B$29+C7*(Annahmen!$B$38-Annahmen!$B$29)))+Annahmen!$B$13/(1-Annahmen!$B$15*(1-C6))*((Annahmen!$B$22+C7*(Annahmen!$B$31-Annahmen!$B$22))+(Annahmen!$B$26+C7*(Annahmen!$B$35-Annahmen!$B$26))+(Annahmen!$B$29+C7*(Annahmen!$B$38-Annahmen!$B$29)))+Annahmen!$B$14/(1-Annahmen!$B$15*(1-C6))*((Annahmen!$B$23+C7*(Annahmen!$B$32-Annahmen!$B$23))+(Annahmen!$B$27+C7*(Annahmen!$B$36-Annahmen!$B$27))+(Annahmen!$B$29+C7*(Annahmen!$B$38-Annahmen!$B$29)))+Annahmen!$B$15*C6*((Annahmen!$B$24+C7*(Annahmen!$B$33-Annahmen!$B$24))+(Annahmen!$B$28+C7*(Annahmen!$B$37-Annahmen!$B$28))+(Annahmen!$B$29+C7*(Annahmen!$B$38-Annahmen!$B$29)))</f>
        <v>37.0833333333333</v>
      </c>
      <c r="D8" s="22" t="n">
        <f aca="false">Annahmen!$B$12/(1-Annahmen!$B$15*(1-D6))*((Annahmen!$B$21+D7*(Annahmen!$B$30-Annahmen!$B$21))+(Annahmen!$B$25+D7*(Annahmen!$B$34-Annahmen!$B$25))+(Annahmen!$B$29+D7*(Annahmen!$B$38-Annahmen!$B$29)))+Annahmen!$B$13/(1-Annahmen!$B$15*(1-D6))*((Annahmen!$B$22+D7*(Annahmen!$B$31-Annahmen!$B$22))+(Annahmen!$B$26+D7*(Annahmen!$B$35-Annahmen!$B$26))+(Annahmen!$B$29+D7*(Annahmen!$B$38-Annahmen!$B$29)))+Annahmen!$B$14/(1-Annahmen!$B$15*(1-D6))*((Annahmen!$B$23+D7*(Annahmen!$B$32-Annahmen!$B$23))+(Annahmen!$B$27+D7*(Annahmen!$B$36-Annahmen!$B$27))+(Annahmen!$B$29+D7*(Annahmen!$B$38-Annahmen!$B$29)))+Annahmen!$B$15*D6*((Annahmen!$B$24+D7*(Annahmen!$B$33-Annahmen!$B$24))+(Annahmen!$B$28+D7*(Annahmen!$B$37-Annahmen!$B$28))+(Annahmen!$B$29+D7*(Annahmen!$B$38-Annahmen!$B$29)))</f>
        <v>37.0833333333333</v>
      </c>
      <c r="E8" s="22" t="n">
        <f aca="false">Annahmen!$B$12/(1-Annahmen!$B$15*(1-E6))*((Annahmen!$B$21+E7*(Annahmen!$B$30-Annahmen!$B$21))+(Annahmen!$B$25+E7*(Annahmen!$B$34-Annahmen!$B$25))+(Annahmen!$B$29+E7*(Annahmen!$B$38-Annahmen!$B$29)))+Annahmen!$B$13/(1-Annahmen!$B$15*(1-E6))*((Annahmen!$B$22+E7*(Annahmen!$B$31-Annahmen!$B$22))+(Annahmen!$B$26+E7*(Annahmen!$B$35-Annahmen!$B$26))+(Annahmen!$B$29+E7*(Annahmen!$B$38-Annahmen!$B$29)))+Annahmen!$B$14/(1-Annahmen!$B$15*(1-E6))*((Annahmen!$B$23+E7*(Annahmen!$B$32-Annahmen!$B$23))+(Annahmen!$B$27+E7*(Annahmen!$B$36-Annahmen!$B$27))+(Annahmen!$B$29+E7*(Annahmen!$B$38-Annahmen!$B$29)))+Annahmen!$B$15*E6*((Annahmen!$B$24+E7*(Annahmen!$B$33-Annahmen!$B$24))+(Annahmen!$B$28+E7*(Annahmen!$B$37-Annahmen!$B$28))+(Annahmen!$B$29+E7*(Annahmen!$B$38-Annahmen!$B$29)))</f>
        <v>37.0833333333333</v>
      </c>
      <c r="F8" s="22" t="n">
        <f aca="false">Annahmen!$B$12/(1-Annahmen!$B$15*(1-F6))*((Annahmen!$B$21+F7*(Annahmen!$B$30-Annahmen!$B$21))+(Annahmen!$B$25+F7*(Annahmen!$B$34-Annahmen!$B$25))+(Annahmen!$B$29+F7*(Annahmen!$B$38-Annahmen!$B$29)))+Annahmen!$B$13/(1-Annahmen!$B$15*(1-F6))*((Annahmen!$B$22+F7*(Annahmen!$B$31-Annahmen!$B$22))+(Annahmen!$B$26+F7*(Annahmen!$B$35-Annahmen!$B$26))+(Annahmen!$B$29+F7*(Annahmen!$B$38-Annahmen!$B$29)))+Annahmen!$B$14/(1-Annahmen!$B$15*(1-F6))*((Annahmen!$B$23+F7*(Annahmen!$B$32-Annahmen!$B$23))+(Annahmen!$B$27+F7*(Annahmen!$B$36-Annahmen!$B$27))+(Annahmen!$B$29+F7*(Annahmen!$B$38-Annahmen!$B$29)))+Annahmen!$B$15*F6*((Annahmen!$B$24+F7*(Annahmen!$B$33-Annahmen!$B$24))+(Annahmen!$B$28+F7*(Annahmen!$B$37-Annahmen!$B$28))+(Annahmen!$B$29+F7*(Annahmen!$B$38-Annahmen!$B$29)))</f>
        <v>37.0833333333333</v>
      </c>
      <c r="G8" s="22" t="n">
        <f aca="false">Annahmen!$B$12/(1-Annahmen!$B$15*(1-G6))*((Annahmen!$B$21+G7*(Annahmen!$B$30-Annahmen!$B$21))+(Annahmen!$B$25+G7*(Annahmen!$B$34-Annahmen!$B$25))+(Annahmen!$B$29+G7*(Annahmen!$B$38-Annahmen!$B$29)))+Annahmen!$B$13/(1-Annahmen!$B$15*(1-G6))*((Annahmen!$B$22+G7*(Annahmen!$B$31-Annahmen!$B$22))+(Annahmen!$B$26+G7*(Annahmen!$B$35-Annahmen!$B$26))+(Annahmen!$B$29+G7*(Annahmen!$B$38-Annahmen!$B$29)))+Annahmen!$B$14/(1-Annahmen!$B$15*(1-G6))*((Annahmen!$B$23+G7*(Annahmen!$B$32-Annahmen!$B$23))+(Annahmen!$B$27+G7*(Annahmen!$B$36-Annahmen!$B$27))+(Annahmen!$B$29+G7*(Annahmen!$B$38-Annahmen!$B$29)))+Annahmen!$B$15*G6*((Annahmen!$B$24+G7*(Annahmen!$B$33-Annahmen!$B$24))+(Annahmen!$B$28+G7*(Annahmen!$B$37-Annahmen!$B$28))+(Annahmen!$B$29+G7*(Annahmen!$B$38-Annahmen!$B$29)))</f>
        <v>37.0833333333333</v>
      </c>
      <c r="H8" s="22" t="n">
        <f aca="false">Annahmen!$B$12/(1-Annahmen!$B$15*(1-H6))*((Annahmen!$B$21+H7*(Annahmen!$B$30-Annahmen!$B$21))+(Annahmen!$B$25+H7*(Annahmen!$B$34-Annahmen!$B$25))+(Annahmen!$B$29+H7*(Annahmen!$B$38-Annahmen!$B$29)))+Annahmen!$B$13/(1-Annahmen!$B$15*(1-H6))*((Annahmen!$B$22+H7*(Annahmen!$B$31-Annahmen!$B$22))+(Annahmen!$B$26+H7*(Annahmen!$B$35-Annahmen!$B$26))+(Annahmen!$B$29+H7*(Annahmen!$B$38-Annahmen!$B$29)))+Annahmen!$B$14/(1-Annahmen!$B$15*(1-H6))*((Annahmen!$B$23+H7*(Annahmen!$B$32-Annahmen!$B$23))+(Annahmen!$B$27+H7*(Annahmen!$B$36-Annahmen!$B$27))+(Annahmen!$B$29+H7*(Annahmen!$B$38-Annahmen!$B$29)))+Annahmen!$B$15*H6*((Annahmen!$B$24+H7*(Annahmen!$B$33-Annahmen!$B$24))+(Annahmen!$B$28+H7*(Annahmen!$B$37-Annahmen!$B$28))+(Annahmen!$B$29+H7*(Annahmen!$B$38-Annahmen!$B$29)))</f>
        <v>37.0833333333333</v>
      </c>
      <c r="I8" s="22" t="n">
        <f aca="false">Annahmen!$B$12/(1-Annahmen!$B$15*(1-I6))*((Annahmen!$B$21+I7*(Annahmen!$B$30-Annahmen!$B$21))+(Annahmen!$B$25+I7*(Annahmen!$B$34-Annahmen!$B$25))+(Annahmen!$B$29+I7*(Annahmen!$B$38-Annahmen!$B$29)))+Annahmen!$B$13/(1-Annahmen!$B$15*(1-I6))*((Annahmen!$B$22+I7*(Annahmen!$B$31-Annahmen!$B$22))+(Annahmen!$B$26+I7*(Annahmen!$B$35-Annahmen!$B$26))+(Annahmen!$B$29+I7*(Annahmen!$B$38-Annahmen!$B$29)))+Annahmen!$B$14/(1-Annahmen!$B$15*(1-I6))*((Annahmen!$B$23+I7*(Annahmen!$B$32-Annahmen!$B$23))+(Annahmen!$B$27+I7*(Annahmen!$B$36-Annahmen!$B$27))+(Annahmen!$B$29+I7*(Annahmen!$B$38-Annahmen!$B$29)))+Annahmen!$B$15*I6*((Annahmen!$B$24+I7*(Annahmen!$B$33-Annahmen!$B$24))+(Annahmen!$B$28+I7*(Annahmen!$B$37-Annahmen!$B$28))+(Annahmen!$B$29+I7*(Annahmen!$B$38-Annahmen!$B$29)))</f>
        <v>34.5625</v>
      </c>
      <c r="J8" s="22" t="n">
        <f aca="false">Annahmen!$B$12/(1-Annahmen!$B$15*(1-J6))*((Annahmen!$B$21+J7*(Annahmen!$B$30-Annahmen!$B$21))+(Annahmen!$B$25+J7*(Annahmen!$B$34-Annahmen!$B$25))+(Annahmen!$B$29+J7*(Annahmen!$B$38-Annahmen!$B$29)))+Annahmen!$B$13/(1-Annahmen!$B$15*(1-J6))*((Annahmen!$B$22+J7*(Annahmen!$B$31-Annahmen!$B$22))+(Annahmen!$B$26+J7*(Annahmen!$B$35-Annahmen!$B$26))+(Annahmen!$B$29+J7*(Annahmen!$B$38-Annahmen!$B$29)))+Annahmen!$B$14/(1-Annahmen!$B$15*(1-J6))*((Annahmen!$B$23+J7*(Annahmen!$B$32-Annahmen!$B$23))+(Annahmen!$B$27+J7*(Annahmen!$B$36-Annahmen!$B$27))+(Annahmen!$B$29+J7*(Annahmen!$B$38-Annahmen!$B$29)))+Annahmen!$B$15*J6*((Annahmen!$B$24+J7*(Annahmen!$B$33-Annahmen!$B$24))+(Annahmen!$B$28+J7*(Annahmen!$B$37-Annahmen!$B$28))+(Annahmen!$B$29+J7*(Annahmen!$B$38-Annahmen!$B$29)))</f>
        <v>34.5625</v>
      </c>
      <c r="K8" s="22" t="n">
        <f aca="false">Annahmen!$B$12/(1-Annahmen!$B$15*(1-K6))*((Annahmen!$B$21+K7*(Annahmen!$B$30-Annahmen!$B$21))+(Annahmen!$B$25+K7*(Annahmen!$B$34-Annahmen!$B$25))+(Annahmen!$B$29+K7*(Annahmen!$B$38-Annahmen!$B$29)))+Annahmen!$B$13/(1-Annahmen!$B$15*(1-K6))*((Annahmen!$B$22+K7*(Annahmen!$B$31-Annahmen!$B$22))+(Annahmen!$B$26+K7*(Annahmen!$B$35-Annahmen!$B$26))+(Annahmen!$B$29+K7*(Annahmen!$B$38-Annahmen!$B$29)))+Annahmen!$B$14/(1-Annahmen!$B$15*(1-K6))*((Annahmen!$B$23+K7*(Annahmen!$B$32-Annahmen!$B$23))+(Annahmen!$B$27+K7*(Annahmen!$B$36-Annahmen!$B$27))+(Annahmen!$B$29+K7*(Annahmen!$B$38-Annahmen!$B$29)))+Annahmen!$B$15*K6*((Annahmen!$B$24+K7*(Annahmen!$B$33-Annahmen!$B$24))+(Annahmen!$B$28+K7*(Annahmen!$B$37-Annahmen!$B$28))+(Annahmen!$B$29+K7*(Annahmen!$B$38-Annahmen!$B$29)))</f>
        <v>34.5625</v>
      </c>
      <c r="L8" s="22" t="n">
        <f aca="false">Annahmen!$B$12/(1-Annahmen!$B$15*(1-L6))*((Annahmen!$B$21+L7*(Annahmen!$B$30-Annahmen!$B$21))+(Annahmen!$B$25+L7*(Annahmen!$B$34-Annahmen!$B$25))+(Annahmen!$B$29+L7*(Annahmen!$B$38-Annahmen!$B$29)))+Annahmen!$B$13/(1-Annahmen!$B$15*(1-L6))*((Annahmen!$B$22+L7*(Annahmen!$B$31-Annahmen!$B$22))+(Annahmen!$B$26+L7*(Annahmen!$B$35-Annahmen!$B$26))+(Annahmen!$B$29+L7*(Annahmen!$B$38-Annahmen!$B$29)))+Annahmen!$B$14/(1-Annahmen!$B$15*(1-L6))*((Annahmen!$B$23+L7*(Annahmen!$B$32-Annahmen!$B$23))+(Annahmen!$B$27+L7*(Annahmen!$B$36-Annahmen!$B$27))+(Annahmen!$B$29+L7*(Annahmen!$B$38-Annahmen!$B$29)))+Annahmen!$B$15*L6*((Annahmen!$B$24+L7*(Annahmen!$B$33-Annahmen!$B$24))+(Annahmen!$B$28+L7*(Annahmen!$B$37-Annahmen!$B$28))+(Annahmen!$B$29+L7*(Annahmen!$B$38-Annahmen!$B$29)))</f>
        <v>34.5625</v>
      </c>
      <c r="M8" s="22" t="n">
        <f aca="false">Annahmen!$B$12/(1-Annahmen!$B$15*(1-M6))*((Annahmen!$B$21+M7*(Annahmen!$B$30-Annahmen!$B$21))+(Annahmen!$B$25+M7*(Annahmen!$B$34-Annahmen!$B$25))+(Annahmen!$B$29+M7*(Annahmen!$B$38-Annahmen!$B$29)))+Annahmen!$B$13/(1-Annahmen!$B$15*(1-M6))*((Annahmen!$B$22+M7*(Annahmen!$B$31-Annahmen!$B$22))+(Annahmen!$B$26+M7*(Annahmen!$B$35-Annahmen!$B$26))+(Annahmen!$B$29+M7*(Annahmen!$B$38-Annahmen!$B$29)))+Annahmen!$B$14/(1-Annahmen!$B$15*(1-M6))*((Annahmen!$B$23+M7*(Annahmen!$B$32-Annahmen!$B$23))+(Annahmen!$B$27+M7*(Annahmen!$B$36-Annahmen!$B$27))+(Annahmen!$B$29+M7*(Annahmen!$B$38-Annahmen!$B$29)))+Annahmen!$B$15*M6*((Annahmen!$B$24+M7*(Annahmen!$B$33-Annahmen!$B$24))+(Annahmen!$B$28+M7*(Annahmen!$B$37-Annahmen!$B$28))+(Annahmen!$B$29+M7*(Annahmen!$B$38-Annahmen!$B$29)))</f>
        <v>34.5625</v>
      </c>
      <c r="N8" s="22" t="n">
        <f aca="false">Annahmen!$B$12/(1-Annahmen!$B$15*(1-N6))*((Annahmen!$B$21+N7*(Annahmen!$B$30-Annahmen!$B$21))+(Annahmen!$B$25+N7*(Annahmen!$B$34-Annahmen!$B$25))+(Annahmen!$B$29+N7*(Annahmen!$B$38-Annahmen!$B$29)))+Annahmen!$B$13/(1-Annahmen!$B$15*(1-N6))*((Annahmen!$B$22+N7*(Annahmen!$B$31-Annahmen!$B$22))+(Annahmen!$B$26+N7*(Annahmen!$B$35-Annahmen!$B$26))+(Annahmen!$B$29+N7*(Annahmen!$B$38-Annahmen!$B$29)))+Annahmen!$B$14/(1-Annahmen!$B$15*(1-N6))*((Annahmen!$B$23+N7*(Annahmen!$B$32-Annahmen!$B$23))+(Annahmen!$B$27+N7*(Annahmen!$B$36-Annahmen!$B$27))+(Annahmen!$B$29+N7*(Annahmen!$B$38-Annahmen!$B$29)))+Annahmen!$B$15*N6*((Annahmen!$B$24+N7*(Annahmen!$B$33-Annahmen!$B$24))+(Annahmen!$B$28+N7*(Annahmen!$B$37-Annahmen!$B$28))+(Annahmen!$B$29+N7*(Annahmen!$B$38-Annahmen!$B$29)))</f>
        <v>34.5625</v>
      </c>
      <c r="O8" s="22" t="n">
        <f aca="false">Annahmen!$B$12/(1-Annahmen!$B$15*(1-O6))*((Annahmen!$B$21+O7*(Annahmen!$B$30-Annahmen!$B$21))+(Annahmen!$B$25+O7*(Annahmen!$B$34-Annahmen!$B$25))+(Annahmen!$B$29+O7*(Annahmen!$B$38-Annahmen!$B$29)))+Annahmen!$B$13/(1-Annahmen!$B$15*(1-O6))*((Annahmen!$B$22+O7*(Annahmen!$B$31-Annahmen!$B$22))+(Annahmen!$B$26+O7*(Annahmen!$B$35-Annahmen!$B$26))+(Annahmen!$B$29+O7*(Annahmen!$B$38-Annahmen!$B$29)))+Annahmen!$B$14/(1-Annahmen!$B$15*(1-O6))*((Annahmen!$B$23+O7*(Annahmen!$B$32-Annahmen!$B$23))+(Annahmen!$B$27+O7*(Annahmen!$B$36-Annahmen!$B$27))+(Annahmen!$B$29+O7*(Annahmen!$B$38-Annahmen!$B$29)))+Annahmen!$B$15*O6*((Annahmen!$B$24+O7*(Annahmen!$B$33-Annahmen!$B$24))+(Annahmen!$B$28+O7*(Annahmen!$B$37-Annahmen!$B$28))+(Annahmen!$B$29+O7*(Annahmen!$B$38-Annahmen!$B$29)))</f>
        <v>34.5625</v>
      </c>
      <c r="P8" s="22" t="n">
        <f aca="false">Annahmen!$B$12/(1-Annahmen!$B$15*(1-P6))*((Annahmen!$B$21+P7*(Annahmen!$B$30-Annahmen!$B$21))+(Annahmen!$B$25+P7*(Annahmen!$B$34-Annahmen!$B$25))+(Annahmen!$B$29+P7*(Annahmen!$B$38-Annahmen!$B$29)))+Annahmen!$B$13/(1-Annahmen!$B$15*(1-P6))*((Annahmen!$B$22+P7*(Annahmen!$B$31-Annahmen!$B$22))+(Annahmen!$B$26+P7*(Annahmen!$B$35-Annahmen!$B$26))+(Annahmen!$B$29+P7*(Annahmen!$B$38-Annahmen!$B$29)))+Annahmen!$B$14/(1-Annahmen!$B$15*(1-P6))*((Annahmen!$B$23+P7*(Annahmen!$B$32-Annahmen!$B$23))+(Annahmen!$B$27+P7*(Annahmen!$B$36-Annahmen!$B$27))+(Annahmen!$B$29+P7*(Annahmen!$B$38-Annahmen!$B$29)))+Annahmen!$B$15*P6*((Annahmen!$B$24+P7*(Annahmen!$B$33-Annahmen!$B$24))+(Annahmen!$B$28+P7*(Annahmen!$B$37-Annahmen!$B$28))+(Annahmen!$B$29+P7*(Annahmen!$B$38-Annahmen!$B$29)))</f>
        <v>34.5625</v>
      </c>
      <c r="Q8" s="22" t="n">
        <f aca="false">Annahmen!$B$12/(1-Annahmen!$B$15*(1-Q6))*((Annahmen!$B$21+Q7*(Annahmen!$B$30-Annahmen!$B$21))+(Annahmen!$B$25+Q7*(Annahmen!$B$34-Annahmen!$B$25))+(Annahmen!$B$29+Q7*(Annahmen!$B$38-Annahmen!$B$29)))+Annahmen!$B$13/(1-Annahmen!$B$15*(1-Q6))*((Annahmen!$B$22+Q7*(Annahmen!$B$31-Annahmen!$B$22))+(Annahmen!$B$26+Q7*(Annahmen!$B$35-Annahmen!$B$26))+(Annahmen!$B$29+Q7*(Annahmen!$B$38-Annahmen!$B$29)))+Annahmen!$B$14/(1-Annahmen!$B$15*(1-Q6))*((Annahmen!$B$23+Q7*(Annahmen!$B$32-Annahmen!$B$23))+(Annahmen!$B$27+Q7*(Annahmen!$B$36-Annahmen!$B$27))+(Annahmen!$B$29+Q7*(Annahmen!$B$38-Annahmen!$B$29)))+Annahmen!$B$15*Q6*((Annahmen!$B$24+Q7*(Annahmen!$B$33-Annahmen!$B$24))+(Annahmen!$B$28+Q7*(Annahmen!$B$37-Annahmen!$B$28))+(Annahmen!$B$29+Q7*(Annahmen!$B$38-Annahmen!$B$29)))</f>
        <v>34.5625</v>
      </c>
      <c r="R8" s="22" t="n">
        <f aca="false">Annahmen!$B$12/(1-Annahmen!$B$15*(1-R6))*((Annahmen!$B$21+R7*(Annahmen!$B$30-Annahmen!$B$21))+(Annahmen!$B$25+R7*(Annahmen!$B$34-Annahmen!$B$25))+(Annahmen!$B$29+R7*(Annahmen!$B$38-Annahmen!$B$29)))+Annahmen!$B$13/(1-Annahmen!$B$15*(1-R6))*((Annahmen!$B$22+R7*(Annahmen!$B$31-Annahmen!$B$22))+(Annahmen!$B$26+R7*(Annahmen!$B$35-Annahmen!$B$26))+(Annahmen!$B$29+R7*(Annahmen!$B$38-Annahmen!$B$29)))+Annahmen!$B$14/(1-Annahmen!$B$15*(1-R6))*((Annahmen!$B$23+R7*(Annahmen!$B$32-Annahmen!$B$23))+(Annahmen!$B$27+R7*(Annahmen!$B$36-Annahmen!$B$27))+(Annahmen!$B$29+R7*(Annahmen!$B$38-Annahmen!$B$29)))+Annahmen!$B$15*R6*((Annahmen!$B$24+R7*(Annahmen!$B$33-Annahmen!$B$24))+(Annahmen!$B$28+R7*(Annahmen!$B$37-Annahmen!$B$28))+(Annahmen!$B$29+R7*(Annahmen!$B$38-Annahmen!$B$29)))</f>
        <v>34.5625</v>
      </c>
      <c r="S8" s="22" t="n">
        <f aca="false">Annahmen!$B$12/(1-Annahmen!$B$15*(1-S6))*((Annahmen!$B$21+S7*(Annahmen!$B$30-Annahmen!$B$21))+(Annahmen!$B$25+S7*(Annahmen!$B$34-Annahmen!$B$25))+(Annahmen!$B$29+S7*(Annahmen!$B$38-Annahmen!$B$29)))+Annahmen!$B$13/(1-Annahmen!$B$15*(1-S6))*((Annahmen!$B$22+S7*(Annahmen!$B$31-Annahmen!$B$22))+(Annahmen!$B$26+S7*(Annahmen!$B$35-Annahmen!$B$26))+(Annahmen!$B$29+S7*(Annahmen!$B$38-Annahmen!$B$29)))+Annahmen!$B$14/(1-Annahmen!$B$15*(1-S6))*((Annahmen!$B$23+S7*(Annahmen!$B$32-Annahmen!$B$23))+(Annahmen!$B$27+S7*(Annahmen!$B$36-Annahmen!$B$27))+(Annahmen!$B$29+S7*(Annahmen!$B$38-Annahmen!$B$29)))+Annahmen!$B$15*S6*((Annahmen!$B$24+S7*(Annahmen!$B$33-Annahmen!$B$24))+(Annahmen!$B$28+S7*(Annahmen!$B$37-Annahmen!$B$28))+(Annahmen!$B$29+S7*(Annahmen!$B$38-Annahmen!$B$29)))</f>
        <v>34.5625</v>
      </c>
      <c r="T8" s="22" t="n">
        <f aca="false">Annahmen!$B$12/(1-Annahmen!$B$15*(1-T6))*((Annahmen!$B$21+T7*(Annahmen!$B$30-Annahmen!$B$21))+(Annahmen!$B$25+T7*(Annahmen!$B$34-Annahmen!$B$25))+(Annahmen!$B$29+T7*(Annahmen!$B$38-Annahmen!$B$29)))+Annahmen!$B$13/(1-Annahmen!$B$15*(1-T6))*((Annahmen!$B$22+T7*(Annahmen!$B$31-Annahmen!$B$22))+(Annahmen!$B$26+T7*(Annahmen!$B$35-Annahmen!$B$26))+(Annahmen!$B$29+T7*(Annahmen!$B$38-Annahmen!$B$29)))+Annahmen!$B$14/(1-Annahmen!$B$15*(1-T6))*((Annahmen!$B$23+T7*(Annahmen!$B$32-Annahmen!$B$23))+(Annahmen!$B$27+T7*(Annahmen!$B$36-Annahmen!$B$27))+(Annahmen!$B$29+T7*(Annahmen!$B$38-Annahmen!$B$29)))+Annahmen!$B$15*T6*((Annahmen!$B$24+T7*(Annahmen!$B$33-Annahmen!$B$24))+(Annahmen!$B$28+T7*(Annahmen!$B$37-Annahmen!$B$28))+(Annahmen!$B$29+T7*(Annahmen!$B$38-Annahmen!$B$29)))</f>
        <v>34.5625</v>
      </c>
      <c r="U8" s="22" t="n">
        <f aca="false">Annahmen!$B$12/(1-Annahmen!$B$15*(1-U6))*((Annahmen!$B$21+U7*(Annahmen!$B$30-Annahmen!$B$21))+(Annahmen!$B$25+U7*(Annahmen!$B$34-Annahmen!$B$25))+(Annahmen!$B$29+U7*(Annahmen!$B$38-Annahmen!$B$29)))+Annahmen!$B$13/(1-Annahmen!$B$15*(1-U6))*((Annahmen!$B$22+U7*(Annahmen!$B$31-Annahmen!$B$22))+(Annahmen!$B$26+U7*(Annahmen!$B$35-Annahmen!$B$26))+(Annahmen!$B$29+U7*(Annahmen!$B$38-Annahmen!$B$29)))+Annahmen!$B$14/(1-Annahmen!$B$15*(1-U6))*((Annahmen!$B$23+U7*(Annahmen!$B$32-Annahmen!$B$23))+(Annahmen!$B$27+U7*(Annahmen!$B$36-Annahmen!$B$27))+(Annahmen!$B$29+U7*(Annahmen!$B$38-Annahmen!$B$29)))+Annahmen!$B$15*U6*((Annahmen!$B$24+U7*(Annahmen!$B$33-Annahmen!$B$24))+(Annahmen!$B$28+U7*(Annahmen!$B$37-Annahmen!$B$28))+(Annahmen!$B$29+U7*(Annahmen!$B$38-Annahmen!$B$29)))</f>
        <v>34.5625</v>
      </c>
      <c r="V8" s="22" t="n">
        <f aca="false">Annahmen!$B$12/(1-Annahmen!$B$15*(1-V6))*((Annahmen!$B$21+V7*(Annahmen!$B$30-Annahmen!$B$21))+(Annahmen!$B$25+V7*(Annahmen!$B$34-Annahmen!$B$25))+(Annahmen!$B$29+V7*(Annahmen!$B$38-Annahmen!$B$29)))+Annahmen!$B$13/(1-Annahmen!$B$15*(1-V6))*((Annahmen!$B$22+V7*(Annahmen!$B$31-Annahmen!$B$22))+(Annahmen!$B$26+V7*(Annahmen!$B$35-Annahmen!$B$26))+(Annahmen!$B$29+V7*(Annahmen!$B$38-Annahmen!$B$29)))+Annahmen!$B$14/(1-Annahmen!$B$15*(1-V6))*((Annahmen!$B$23+V7*(Annahmen!$B$32-Annahmen!$B$23))+(Annahmen!$B$27+V7*(Annahmen!$B$36-Annahmen!$B$27))+(Annahmen!$B$29+V7*(Annahmen!$B$38-Annahmen!$B$29)))+Annahmen!$B$15*V6*((Annahmen!$B$24+V7*(Annahmen!$B$33-Annahmen!$B$24))+(Annahmen!$B$28+V7*(Annahmen!$B$37-Annahmen!$B$28))+(Annahmen!$B$29+V7*(Annahmen!$B$38-Annahmen!$B$29)))</f>
        <v>34.5625</v>
      </c>
      <c r="W8" s="22" t="n">
        <f aca="false">Annahmen!$B$12/(1-Annahmen!$B$15*(1-W6))*((Annahmen!$B$21+W7*(Annahmen!$B$30-Annahmen!$B$21))+(Annahmen!$B$25+W7*(Annahmen!$B$34-Annahmen!$B$25))+(Annahmen!$B$29+W7*(Annahmen!$B$38-Annahmen!$B$29)))+Annahmen!$B$13/(1-Annahmen!$B$15*(1-W6))*((Annahmen!$B$22+W7*(Annahmen!$B$31-Annahmen!$B$22))+(Annahmen!$B$26+W7*(Annahmen!$B$35-Annahmen!$B$26))+(Annahmen!$B$29+W7*(Annahmen!$B$38-Annahmen!$B$29)))+Annahmen!$B$14/(1-Annahmen!$B$15*(1-W6))*((Annahmen!$B$23+W7*(Annahmen!$B$32-Annahmen!$B$23))+(Annahmen!$B$27+W7*(Annahmen!$B$36-Annahmen!$B$27))+(Annahmen!$B$29+W7*(Annahmen!$B$38-Annahmen!$B$29)))+Annahmen!$B$15*W6*((Annahmen!$B$24+W7*(Annahmen!$B$33-Annahmen!$B$24))+(Annahmen!$B$28+W7*(Annahmen!$B$37-Annahmen!$B$28))+(Annahmen!$B$29+W7*(Annahmen!$B$38-Annahmen!$B$29)))</f>
        <v>34.5625</v>
      </c>
      <c r="X8" s="22" t="n">
        <f aca="false">Annahmen!$B$12/(1-Annahmen!$B$15*(1-X6))*((Annahmen!$B$21+X7*(Annahmen!$B$30-Annahmen!$B$21))+(Annahmen!$B$25+X7*(Annahmen!$B$34-Annahmen!$B$25))+(Annahmen!$B$29+X7*(Annahmen!$B$38-Annahmen!$B$29)))+Annahmen!$B$13/(1-Annahmen!$B$15*(1-X6))*((Annahmen!$B$22+X7*(Annahmen!$B$31-Annahmen!$B$22))+(Annahmen!$B$26+X7*(Annahmen!$B$35-Annahmen!$B$26))+(Annahmen!$B$29+X7*(Annahmen!$B$38-Annahmen!$B$29)))+Annahmen!$B$14/(1-Annahmen!$B$15*(1-X6))*((Annahmen!$B$23+X7*(Annahmen!$B$32-Annahmen!$B$23))+(Annahmen!$B$27+X7*(Annahmen!$B$36-Annahmen!$B$27))+(Annahmen!$B$29+X7*(Annahmen!$B$38-Annahmen!$B$29)))+Annahmen!$B$15*X6*((Annahmen!$B$24+X7*(Annahmen!$B$33-Annahmen!$B$24))+(Annahmen!$B$28+X7*(Annahmen!$B$37-Annahmen!$B$28))+(Annahmen!$B$29+X7*(Annahmen!$B$38-Annahmen!$B$29)))</f>
        <v>34.5625</v>
      </c>
      <c r="Y8" s="22" t="n">
        <f aca="false">Annahmen!$B$12/(1-Annahmen!$B$15*(1-Y6))*((Annahmen!$B$21+Y7*(Annahmen!$B$30-Annahmen!$B$21))+(Annahmen!$B$25+Y7*(Annahmen!$B$34-Annahmen!$B$25))+(Annahmen!$B$29+Y7*(Annahmen!$B$38-Annahmen!$B$29)))+Annahmen!$B$13/(1-Annahmen!$B$15*(1-Y6))*((Annahmen!$B$22+Y7*(Annahmen!$B$31-Annahmen!$B$22))+(Annahmen!$B$26+Y7*(Annahmen!$B$35-Annahmen!$B$26))+(Annahmen!$B$29+Y7*(Annahmen!$B$38-Annahmen!$B$29)))+Annahmen!$B$14/(1-Annahmen!$B$15*(1-Y6))*((Annahmen!$B$23+Y7*(Annahmen!$B$32-Annahmen!$B$23))+(Annahmen!$B$27+Y7*(Annahmen!$B$36-Annahmen!$B$27))+(Annahmen!$B$29+Y7*(Annahmen!$B$38-Annahmen!$B$29)))+Annahmen!$B$15*Y6*((Annahmen!$B$24+Y7*(Annahmen!$B$33-Annahmen!$B$24))+(Annahmen!$B$28+Y7*(Annahmen!$B$37-Annahmen!$B$28))+(Annahmen!$B$29+Y7*(Annahmen!$B$38-Annahmen!$B$29)))</f>
        <v>34.5625</v>
      </c>
    </row>
    <row r="9" customFormat="false" ht="15" hidden="false" customHeight="false" outlineLevel="0" collapsed="false">
      <c r="A9" s="5" t="s">
        <v>134</v>
      </c>
      <c r="B9" s="22" t="n">
        <f aca="false">0*(Annahmen!$B$25+B7*(Annahmen!$B$34-Annahmen!$B$25))+0*(Annahmen!$B$26+B7*(Annahmen!$B$35-Annahmen!$B$26))+0*(Annahmen!$B$27+B7*(Annahmen!$B$36-Annahmen!$B$27))+0*(Annahmen!$B$28+B7*(Annahmen!$B$37-Annahmen!$B$28))</f>
        <v>0</v>
      </c>
      <c r="C9" s="22" t="n">
        <f aca="false">B14*(Annahmen!$B$25+C7*(Annahmen!$B$34-Annahmen!$B$25))+B15*(Annahmen!$B$26+C7*(Annahmen!$B$35-Annahmen!$B$26))+B16*(Annahmen!$B$27+C7*(Annahmen!$B$36-Annahmen!$B$27))+B17*(Annahmen!$B$28+C7*(Annahmen!$B$37-Annahmen!$B$28))</f>
        <v>12.8333333333333</v>
      </c>
      <c r="D9" s="22" t="n">
        <f aca="false">C14*(Annahmen!$B$25+D7*(Annahmen!$B$34-Annahmen!$B$25))+C15*(Annahmen!$B$26+D7*(Annahmen!$B$35-Annahmen!$B$26))+C16*(Annahmen!$B$27+D7*(Annahmen!$B$36-Annahmen!$B$27))+C17*(Annahmen!$B$28+D7*(Annahmen!$B$37-Annahmen!$B$28))</f>
        <v>25.3716666666667</v>
      </c>
      <c r="E9" s="22" t="n">
        <f aca="false">D14*(Annahmen!$B$25+E7*(Annahmen!$B$34-Annahmen!$B$25))+D15*(Annahmen!$B$26+E7*(Annahmen!$B$35-Annahmen!$B$26))+D16*(Annahmen!$B$27+E7*(Annahmen!$B$36-Annahmen!$B$27))+D17*(Annahmen!$B$28+E7*(Annahmen!$B$37-Annahmen!$B$28))</f>
        <v>44.03875</v>
      </c>
      <c r="F9" s="22" t="n">
        <f aca="false">E14*(Annahmen!$B$25+F7*(Annahmen!$B$34-Annahmen!$B$25))+E15*(Annahmen!$B$26+F7*(Annahmen!$B$35-Annahmen!$B$26))+E16*(Annahmen!$B$27+F7*(Annahmen!$B$36-Annahmen!$B$27))+E17*(Annahmen!$B$28+F7*(Annahmen!$B$37-Annahmen!$B$28))</f>
        <v>62.2773225</v>
      </c>
      <c r="G9" s="22" t="n">
        <f aca="false">F14*(Annahmen!$B$25+G7*(Annahmen!$B$34-Annahmen!$B$25))+F15*(Annahmen!$B$26+G7*(Annahmen!$B$35-Annahmen!$B$26))+F16*(Annahmen!$B$27+G7*(Annahmen!$B$36-Annahmen!$B$27))+F17*(Annahmen!$B$28+G7*(Annahmen!$B$37-Annahmen!$B$28))</f>
        <v>79.4873131039888</v>
      </c>
      <c r="H9" s="22" t="n">
        <f aca="false">G14*(Annahmen!$B$25+H7*(Annahmen!$B$34-Annahmen!$B$25))+G15*(Annahmen!$B$26+H7*(Annahmen!$B$35-Annahmen!$B$26))+G16*(Annahmen!$B$27+H7*(Annahmen!$B$36-Annahmen!$B$27))+G17*(Annahmen!$B$28+H7*(Annahmen!$B$37-Annahmen!$B$28))</f>
        <v>93.3252065508205</v>
      </c>
      <c r="I9" s="22" t="n">
        <f aca="false">H14*(Annahmen!$B$25+I7*(Annahmen!$B$34-Annahmen!$B$25))+H15*(Annahmen!$B$26+I7*(Annahmen!$B$35-Annahmen!$B$26))+H16*(Annahmen!$B$27+I7*(Annahmen!$B$36-Annahmen!$B$27))+H17*(Annahmen!$B$28+I7*(Annahmen!$B$37-Annahmen!$B$28))</f>
        <v>104.452372744656</v>
      </c>
      <c r="J9" s="22" t="n">
        <f aca="false">I14*(Annahmen!$B$25+J7*(Annahmen!$B$34-Annahmen!$B$25))+I15*(Annahmen!$B$26+J7*(Annahmen!$B$35-Annahmen!$B$26))+I16*(Annahmen!$B$27+J7*(Annahmen!$B$36-Annahmen!$B$27))+I17*(Annahmen!$B$28+J7*(Annahmen!$B$37-Annahmen!$B$28))</f>
        <v>114.504253600739</v>
      </c>
      <c r="K9" s="22" t="n">
        <f aca="false">J14*(Annahmen!$B$25+K7*(Annahmen!$B$34-Annahmen!$B$25))+J15*(Annahmen!$B$26+K7*(Annahmen!$B$35-Annahmen!$B$26))+J16*(Annahmen!$B$27+K7*(Annahmen!$B$36-Annahmen!$B$27))+J17*(Annahmen!$B$28+K7*(Annahmen!$B$37-Annahmen!$B$28))</f>
        <v>122.329110250444</v>
      </c>
      <c r="L9" s="22" t="n">
        <f aca="false">K14*(Annahmen!$B$25+L7*(Annahmen!$B$34-Annahmen!$B$25))+K15*(Annahmen!$B$26+L7*(Annahmen!$B$35-Annahmen!$B$26))+K16*(Annahmen!$B$27+L7*(Annahmen!$B$36-Annahmen!$B$27))+K17*(Annahmen!$B$28+L7*(Annahmen!$B$37-Annahmen!$B$28))</f>
        <v>128.419319521927</v>
      </c>
      <c r="M9" s="22" t="n">
        <f aca="false">L14*(Annahmen!$B$25+M7*(Annahmen!$B$34-Annahmen!$B$25))+L15*(Annahmen!$B$26+M7*(Annahmen!$B$35-Annahmen!$B$26))+L16*(Annahmen!$B$27+M7*(Annahmen!$B$36-Annahmen!$B$27))+L17*(Annahmen!$B$28+M7*(Annahmen!$B$37-Annahmen!$B$28))</f>
        <v>133.158454071976</v>
      </c>
      <c r="N9" s="22" t="n">
        <f aca="false">M14*(Annahmen!$B$25+N7*(Annahmen!$B$34-Annahmen!$B$25))+M15*(Annahmen!$B$26+N7*(Annahmen!$B$35-Annahmen!$B$26))+M16*(Annahmen!$B$27+N7*(Annahmen!$B$36-Annahmen!$B$27))+M17*(Annahmen!$B$28+N7*(Annahmen!$B$37-Annahmen!$B$28))</f>
        <v>136.845322957709</v>
      </c>
      <c r="O9" s="22" t="n">
        <f aca="false">N14*(Annahmen!$B$25+O7*(Annahmen!$B$34-Annahmen!$B$25))+N15*(Annahmen!$B$26+O7*(Annahmen!$B$35-Annahmen!$B$26))+N16*(Annahmen!$B$27+O7*(Annahmen!$B$36-Annahmen!$B$27))+N17*(Annahmen!$B$28+O7*(Annahmen!$B$37-Annahmen!$B$28))</f>
        <v>139.712700502054</v>
      </c>
      <c r="P9" s="22" t="n">
        <f aca="false">O14*(Annahmen!$B$25+P7*(Annahmen!$B$34-Annahmen!$B$25))+O15*(Annahmen!$B$26+P7*(Annahmen!$B$35-Annahmen!$B$26))+O16*(Annahmen!$B$27+P7*(Annahmen!$B$36-Annahmen!$B$27))+O17*(Annahmen!$B$28+P7*(Annahmen!$B$37-Annahmen!$B$28))</f>
        <v>141.941917056278</v>
      </c>
      <c r="Q9" s="22" t="n">
        <f aca="false">P14*(Annahmen!$B$25+Q7*(Annahmen!$B$34-Annahmen!$B$25))+P15*(Annahmen!$B$26+Q7*(Annahmen!$B$35-Annahmen!$B$26))+P16*(Annahmen!$B$27+Q7*(Annahmen!$B$36-Annahmen!$B$27))+P17*(Annahmen!$B$28+Q7*(Annahmen!$B$37-Annahmen!$B$28))</f>
        <v>143.674225959445</v>
      </c>
      <c r="R9" s="22" t="n">
        <f aca="false">Q14*(Annahmen!$B$25+R7*(Annahmen!$B$34-Annahmen!$B$25))+Q15*(Annahmen!$B$26+R7*(Annahmen!$B$35-Annahmen!$B$26))+Q16*(Annahmen!$B$27+R7*(Annahmen!$B$36-Annahmen!$B$27))+Q17*(Annahmen!$B$28+R7*(Annahmen!$B$37-Annahmen!$B$28))</f>
        <v>145.019658983433</v>
      </c>
      <c r="S9" s="22" t="n">
        <f aca="false">R14*(Annahmen!$B$25+S7*(Annahmen!$B$34-Annahmen!$B$25))+R15*(Annahmen!$B$26+S7*(Annahmen!$B$35-Annahmen!$B$26))+R16*(Annahmen!$B$27+S7*(Annahmen!$B$36-Annahmen!$B$27))+R17*(Annahmen!$B$28+S7*(Annahmen!$B$37-Annahmen!$B$28))</f>
        <v>146.063925174547</v>
      </c>
      <c r="T9" s="22" t="n">
        <f aca="false">S14*(Annahmen!$B$25+T7*(Annahmen!$B$34-Annahmen!$B$25))+S15*(Annahmen!$B$26+T7*(Annahmen!$B$35-Annahmen!$B$26))+S16*(Annahmen!$B$27+T7*(Annahmen!$B$36-Annahmen!$B$27))+S17*(Annahmen!$B$28+T7*(Annahmen!$B$37-Annahmen!$B$28))</f>
        <v>146.873785397149</v>
      </c>
      <c r="U9" s="22" t="n">
        <f aca="false">T14*(Annahmen!$B$25+U7*(Annahmen!$B$34-Annahmen!$B$25))+T15*(Annahmen!$B$26+U7*(Annahmen!$B$35-Annahmen!$B$26))+T16*(Annahmen!$B$27+U7*(Annahmen!$B$36-Annahmen!$B$27))+T17*(Annahmen!$B$28+U7*(Annahmen!$B$37-Annahmen!$B$28))</f>
        <v>147.501239368389</v>
      </c>
      <c r="V9" s="22" t="n">
        <f aca="false">U14*(Annahmen!$B$25+V7*(Annahmen!$B$34-Annahmen!$B$25))+U15*(Annahmen!$B$26+V7*(Annahmen!$B$35-Annahmen!$B$26))+U16*(Annahmen!$B$27+V7*(Annahmen!$B$36-Annahmen!$B$27))+U17*(Annahmen!$B$28+V7*(Annahmen!$B$37-Annahmen!$B$28))</f>
        <v>147.986787560777</v>
      </c>
      <c r="W9" s="22" t="n">
        <f aca="false">V14*(Annahmen!$B$25+W7*(Annahmen!$B$34-Annahmen!$B$25))+V15*(Annahmen!$B$26+W7*(Annahmen!$B$35-Annahmen!$B$26))+V16*(Annahmen!$B$27+W7*(Annahmen!$B$36-Annahmen!$B$27))+V17*(Annahmen!$B$28+W7*(Annahmen!$B$37-Annahmen!$B$28))</f>
        <v>148.361972378113</v>
      </c>
      <c r="X9" s="22" t="n">
        <f aca="false">W14*(Annahmen!$B$25+X7*(Annahmen!$B$34-Annahmen!$B$25))+W15*(Annahmen!$B$26+X7*(Annahmen!$B$35-Annahmen!$B$26))+W16*(Annahmen!$B$27+X7*(Annahmen!$B$36-Annahmen!$B$27))+W17*(Annahmen!$B$28+X7*(Annahmen!$B$37-Annahmen!$B$28))</f>
        <v>148.651357847584</v>
      </c>
      <c r="Y9" s="22" t="n">
        <f aca="false">X14*(Annahmen!$B$25+Y7*(Annahmen!$B$34-Annahmen!$B$25))+X15*(Annahmen!$B$26+Y7*(Annahmen!$B$35-Annahmen!$B$26))+X16*(Annahmen!$B$27+Y7*(Annahmen!$B$36-Annahmen!$B$27))+X17*(Annahmen!$B$28+Y7*(Annahmen!$B$37-Annahmen!$B$28))</f>
        <v>148.874071886718</v>
      </c>
    </row>
    <row r="10" customFormat="false" ht="15" hidden="false" customHeight="false" outlineLevel="0" collapsed="false">
      <c r="A10" s="5" t="s">
        <v>135</v>
      </c>
      <c r="B10" s="22" t="n">
        <f aca="false">MAX(0,(Annahmen!$B$41-B9)/B8)</f>
        <v>4.58426966292135</v>
      </c>
      <c r="C10" s="22" t="n">
        <f aca="false">MAX(0,(Annahmen!$B$41-C9)/C8)</f>
        <v>4.23820224719101</v>
      </c>
      <c r="D10" s="22" t="n">
        <f aca="false">MAX(0,(Annahmen!$B$41-D9)/D8)</f>
        <v>3.90008988764045</v>
      </c>
      <c r="E10" s="22" t="n">
        <f aca="false">MAX(0,(Annahmen!$B$41-E9)/E8)</f>
        <v>3.39670786516854</v>
      </c>
      <c r="F10" s="22" t="n">
        <f aca="false">MAX(0,(Annahmen!$B$41-F9)/F8)</f>
        <v>2.90488119101124</v>
      </c>
      <c r="G10" s="22" t="n">
        <f aca="false">MAX(0,(Annahmen!$B$41-G9)/G8)</f>
        <v>2.44079155674637</v>
      </c>
      <c r="H10" s="22" t="n">
        <f aca="false">MAX(0,(Annahmen!$B$41-H9)/H8)</f>
        <v>2.06763487952844</v>
      </c>
      <c r="I10" s="22" t="n">
        <f aca="false">MAX(0,(Annahmen!$B$41-I9)/I8)</f>
        <v>1.89649554445842</v>
      </c>
      <c r="J10" s="22" t="n">
        <f aca="false">MAX(0,(Annahmen!$B$41-J9)/J8)</f>
        <v>1.60566354862237</v>
      </c>
      <c r="K10" s="22" t="n">
        <f aca="false">MAX(0,(Annahmen!$B$41-K9)/K8)</f>
        <v>1.37926624953507</v>
      </c>
      <c r="L10" s="22" t="n">
        <f aca="false">MAX(0,(Annahmen!$B$41-L9)/L8)</f>
        <v>1.2030576630184</v>
      </c>
      <c r="M10" s="22" t="n">
        <f aca="false">MAX(0,(Annahmen!$B$41-M9)/M8)</f>
        <v>1.06593984601879</v>
      </c>
      <c r="N10" s="22" t="n">
        <f aca="false">MAX(0,(Annahmen!$B$41-N9)/N8)</f>
        <v>0.959267328529223</v>
      </c>
      <c r="O10" s="22" t="n">
        <f aca="false">MAX(0,(Annahmen!$B$41-O9)/O8)</f>
        <v>0.876305229596994</v>
      </c>
      <c r="P10" s="22" t="n">
        <f aca="false">MAX(0,(Annahmen!$B$41-P9)/P8)</f>
        <v>0.811807101445841</v>
      </c>
      <c r="Q10" s="22" t="n">
        <f aca="false">MAX(0,(Annahmen!$B$41-Q9)/Q8)</f>
        <v>0.761686048189669</v>
      </c>
      <c r="R10" s="22" t="n">
        <f aca="false">MAX(0,(Annahmen!$B$41-R9)/R8)</f>
        <v>0.722758510425098</v>
      </c>
      <c r="S10" s="22" t="n">
        <f aca="false">MAX(0,(Annahmen!$B$41-S9)/S8)</f>
        <v>0.692544660410928</v>
      </c>
      <c r="T10" s="22" t="n">
        <f aca="false">MAX(0,(Annahmen!$B$41-T9)/T8)</f>
        <v>0.669112899901648</v>
      </c>
      <c r="U10" s="22" t="n">
        <f aca="false">MAX(0,(Annahmen!$B$41-U9)/U8)</f>
        <v>0.650958716285321</v>
      </c>
      <c r="V10" s="22" t="n">
        <f aca="false">MAX(0,(Annahmen!$B$41-V9)/V8)</f>
        <v>0.636910305655637</v>
      </c>
      <c r="W10" s="22" t="n">
        <f aca="false">MAX(0,(Annahmen!$B$41-W9)/W8)</f>
        <v>0.626055048734525</v>
      </c>
      <c r="X10" s="22" t="n">
        <f aca="false">MAX(0,(Annahmen!$B$41-X9)/X8)</f>
        <v>0.617682232257972</v>
      </c>
      <c r="Y10" s="22" t="n">
        <f aca="false">MAX(0,(Annahmen!$B$41-Y9)/Y8)</f>
        <v>0.61123842642407</v>
      </c>
    </row>
    <row r="11" customFormat="false" ht="15" hidden="false" customHeight="false" outlineLevel="0" collapsed="false">
      <c r="A11" s="7" t="s">
        <v>136</v>
      </c>
      <c r="B11" s="21" t="n">
        <f aca="false">MIN(B5,B10)</f>
        <v>2</v>
      </c>
      <c r="C11" s="21" t="n">
        <f aca="false">MIN(C5,C10)</f>
        <v>2</v>
      </c>
      <c r="D11" s="21" t="n">
        <f aca="false">MIN(D5,D10)</f>
        <v>3</v>
      </c>
      <c r="E11" s="21" t="n">
        <f aca="false">MIN(E5,E10)</f>
        <v>3</v>
      </c>
      <c r="F11" s="21" t="n">
        <f aca="false">MIN(F5,F10)</f>
        <v>2.90488119101124</v>
      </c>
      <c r="G11" s="21" t="n">
        <f aca="false">MIN(G5,G10)</f>
        <v>2.44079155674637</v>
      </c>
      <c r="H11" s="21" t="n">
        <f aca="false">MIN(H5,H10)</f>
        <v>2.06763487952844</v>
      </c>
      <c r="I11" s="21" t="n">
        <f aca="false">MIN(I5,I10)</f>
        <v>1.89649554445842</v>
      </c>
      <c r="J11" s="21" t="n">
        <f aca="false">MIN(J5,J10)</f>
        <v>1.60566354862237</v>
      </c>
      <c r="K11" s="21" t="n">
        <f aca="false">MIN(K5,K10)</f>
        <v>1.37926624953507</v>
      </c>
      <c r="L11" s="21" t="n">
        <f aca="false">MIN(L5,L10)</f>
        <v>1.2030576630184</v>
      </c>
      <c r="M11" s="21" t="n">
        <f aca="false">MIN(M5,M10)</f>
        <v>1.06593984601879</v>
      </c>
      <c r="N11" s="21" t="n">
        <f aca="false">MIN(N5,N10)</f>
        <v>0.959267328529223</v>
      </c>
      <c r="O11" s="21" t="n">
        <f aca="false">MIN(O5,O10)</f>
        <v>0.876305229596994</v>
      </c>
      <c r="P11" s="21" t="n">
        <f aca="false">MIN(P5,P10)</f>
        <v>0.811807101445841</v>
      </c>
      <c r="Q11" s="21" t="n">
        <f aca="false">MIN(Q5,Q10)</f>
        <v>0.761686048189669</v>
      </c>
      <c r="R11" s="21" t="n">
        <f aca="false">MIN(R5,R10)</f>
        <v>0.722758510425098</v>
      </c>
      <c r="S11" s="21" t="n">
        <f aca="false">MIN(S5,S10)</f>
        <v>0.692544660410928</v>
      </c>
      <c r="T11" s="21" t="n">
        <f aca="false">MIN(T5,T10)</f>
        <v>0.669112899901648</v>
      </c>
      <c r="U11" s="21" t="n">
        <f aca="false">MIN(U5,U10)</f>
        <v>0.650958716285321</v>
      </c>
      <c r="V11" s="21" t="n">
        <f aca="false">MIN(V5,V10)</f>
        <v>0.636910305655637</v>
      </c>
      <c r="W11" s="21" t="n">
        <f aca="false">MIN(W5,W10)</f>
        <v>0.626055048734525</v>
      </c>
      <c r="X11" s="21" t="n">
        <f aca="false">MIN(X5,X10)</f>
        <v>0.617682232257972</v>
      </c>
      <c r="Y11" s="21" t="n">
        <f aca="false">MIN(Y5,Y10)</f>
        <v>0.61123842642407</v>
      </c>
    </row>
    <row r="12" customFormat="false" ht="15" hidden="false" customHeight="false" outlineLevel="0" collapsed="false">
      <c r="A12" s="5" t="s">
        <v>137</v>
      </c>
      <c r="B12" s="22" t="n">
        <f aca="false">0+B11</f>
        <v>2</v>
      </c>
      <c r="C12" s="22" t="n">
        <f aca="false">B12+C11</f>
        <v>4</v>
      </c>
      <c r="D12" s="22" t="n">
        <f aca="false">C12+D11</f>
        <v>7</v>
      </c>
      <c r="E12" s="22" t="n">
        <f aca="false">D12+E11</f>
        <v>10</v>
      </c>
      <c r="F12" s="22" t="n">
        <f aca="false">E12+F11</f>
        <v>12.9048811910112</v>
      </c>
      <c r="G12" s="22" t="n">
        <f aca="false">F12+G11</f>
        <v>15.3456727477576</v>
      </c>
      <c r="H12" s="22" t="n">
        <f aca="false">G12+H11</f>
        <v>17.413307627286</v>
      </c>
      <c r="I12" s="22" t="n">
        <f aca="false">H12+I11</f>
        <v>19.3098031717445</v>
      </c>
      <c r="J12" s="22" t="n">
        <f aca="false">I12+J11</f>
        <v>20.9154667203668</v>
      </c>
      <c r="K12" s="22" t="n">
        <f aca="false">J12+K11</f>
        <v>22.2947329699019</v>
      </c>
      <c r="L12" s="22" t="n">
        <f aca="false">K12+L11</f>
        <v>23.4977906329203</v>
      </c>
      <c r="M12" s="22" t="n">
        <f aca="false">L12+M11</f>
        <v>24.5637304789391</v>
      </c>
      <c r="N12" s="22" t="n">
        <f aca="false">M12+N11</f>
        <v>25.5229978074683</v>
      </c>
      <c r="O12" s="22" t="n">
        <f aca="false">N12+O11</f>
        <v>26.3993030370653</v>
      </c>
      <c r="P12" s="22" t="n">
        <f aca="false">O12+P11</f>
        <v>27.2111101385111</v>
      </c>
      <c r="Q12" s="22" t="n">
        <f aca="false">P12+Q11</f>
        <v>27.9727961867008</v>
      </c>
      <c r="R12" s="22" t="n">
        <f aca="false">Q12+R11</f>
        <v>28.6955546971259</v>
      </c>
      <c r="S12" s="22" t="n">
        <f aca="false">R12+S11</f>
        <v>29.3880993575368</v>
      </c>
      <c r="T12" s="22" t="n">
        <f aca="false">S12+T11</f>
        <v>30.0572122574385</v>
      </c>
      <c r="U12" s="22" t="n">
        <f aca="false">T12+U11</f>
        <v>30.7081709737238</v>
      </c>
      <c r="V12" s="22" t="n">
        <f aca="false">U12+V11</f>
        <v>31.3450812793794</v>
      </c>
      <c r="W12" s="22" t="n">
        <f aca="false">V12+W11</f>
        <v>31.971136328114</v>
      </c>
      <c r="X12" s="22" t="n">
        <f aca="false">W12+X11</f>
        <v>32.5888185603719</v>
      </c>
      <c r="Y12" s="22" t="n">
        <f aca="false">X12+Y11</f>
        <v>33.200056986796</v>
      </c>
    </row>
    <row r="13" customFormat="false" ht="15" hidden="false" customHeight="fals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customFormat="false" ht="15" hidden="false" customHeight="false" outlineLevel="0" collapsed="false">
      <c r="A14" s="5" t="s">
        <v>138</v>
      </c>
      <c r="B14" s="22" t="n">
        <f aca="false">0*(1-Annahmen!$B$17)+B11*Annahmen!$B$12/(1-Annahmen!$B$15*(1-B6))</f>
        <v>0.666666666666667</v>
      </c>
      <c r="C14" s="22" t="n">
        <f aca="false">B14*(1-Annahmen!$B$17)+C11*Annahmen!$B$12/(1-Annahmen!$B$15*(1-C6))</f>
        <v>1.32666666666667</v>
      </c>
      <c r="D14" s="22" t="n">
        <f aca="false">C14*(1-Annahmen!$B$17)+D11*Annahmen!$B$12/(1-Annahmen!$B$15*(1-D6))</f>
        <v>2.3134</v>
      </c>
      <c r="E14" s="22" t="n">
        <f aca="false">D14*(1-Annahmen!$B$17)+E11*Annahmen!$B$12/(1-Annahmen!$B$15*(1-E6))</f>
        <v>3.290266</v>
      </c>
      <c r="F14" s="22" t="n">
        <f aca="false">E14*(1-Annahmen!$B$17)+F11*Annahmen!$B$12/(1-Annahmen!$B$15*(1-F6))</f>
        <v>4.22565707033708</v>
      </c>
      <c r="G14" s="22" t="n">
        <f aca="false">F14*(1-Annahmen!$B$17)+G11*Annahmen!$B$12/(1-Annahmen!$B$15*(1-G6))</f>
        <v>4.99699768521583</v>
      </c>
      <c r="H14" s="22" t="n">
        <f aca="false">G14*(1-Annahmen!$B$17)+H11*Annahmen!$B$12/(1-Annahmen!$B$15*(1-H6))</f>
        <v>5.63623933487315</v>
      </c>
      <c r="I14" s="22" t="n">
        <f aca="false">H14*(1-Annahmen!$B$17)+I11*Annahmen!$B$12/(1-Annahmen!$B$15*(1-I6))</f>
        <v>6.05400082763902</v>
      </c>
      <c r="J14" s="22" t="n">
        <f aca="false">I14*(1-Annahmen!$B$17)+J11*Annahmen!$B$12/(1-Annahmen!$B$15*(1-J6))</f>
        <v>6.39487670651823</v>
      </c>
      <c r="K14" s="22" t="n">
        <f aca="false">J14*(1-Annahmen!$B$17)+K11*Annahmen!$B$12/(1-Annahmen!$B$15*(1-K6))</f>
        <v>6.67574450183681</v>
      </c>
      <c r="L14" s="22" t="n">
        <f aca="false">K14*(1-Annahmen!$B$17)+L11*Annahmen!$B$12/(1-Annahmen!$B$15*(1-L6))</f>
        <v>6.90975147257304</v>
      </c>
      <c r="M14" s="22" t="n">
        <f aca="false">L14*(1-Annahmen!$B$17)+M11*Annahmen!$B$12/(1-Annahmen!$B$15*(1-M6))</f>
        <v>7.10713891935201</v>
      </c>
      <c r="N14" s="22" t="n">
        <f aca="false">M14*(1-Annahmen!$B$17)+N11*Annahmen!$B$12/(1-Annahmen!$B$15*(1-N6))</f>
        <v>7.2758843622908</v>
      </c>
      <c r="O14" s="22" t="n">
        <f aca="false">N14*(1-Annahmen!$B$17)+O11*Annahmen!$B$12/(1-Annahmen!$B$15*(1-O6))</f>
        <v>7.42220182606714</v>
      </c>
      <c r="P14" s="22" t="n">
        <f aca="false">O14*(1-Annahmen!$B$17)+P11*Annahmen!$B$12/(1-Annahmen!$B$15*(1-P6))</f>
        <v>7.55093158316793</v>
      </c>
      <c r="Q14" s="22" t="n">
        <f aca="false">P14*(1-Annahmen!$B$17)+Q11*Annahmen!$B$12/(1-Annahmen!$B$15*(1-Q6))</f>
        <v>7.66584377938366</v>
      </c>
      <c r="R14" s="22" t="n">
        <f aca="false">Q14*(1-Annahmen!$B$17)+R11*Annahmen!$B$12/(1-Annahmen!$B$15*(1-R6))</f>
        <v>7.7698749691961</v>
      </c>
      <c r="S14" s="22" t="n">
        <f aca="false">R14*(1-Annahmen!$B$17)+S11*Annahmen!$B$12/(1-Annahmen!$B$15*(1-S6))</f>
        <v>7.86531238460687</v>
      </c>
      <c r="T14" s="22" t="n">
        <f aca="false">S14*(1-Annahmen!$B$17)+T11*Annahmen!$B$12/(1-Annahmen!$B$15*(1-T6))</f>
        <v>7.95393748573622</v>
      </c>
      <c r="U14" s="22" t="n">
        <f aca="false">T14*(1-Annahmen!$B$17)+U11*Annahmen!$B$12/(1-Annahmen!$B$15*(1-U6))</f>
        <v>8.03713778995018</v>
      </c>
      <c r="V14" s="22" t="n">
        <f aca="false">U14*(1-Annahmen!$B$17)+V11*Annahmen!$B$12/(1-Annahmen!$B$15*(1-V6))</f>
        <v>8.11599398846459</v>
      </c>
      <c r="W14" s="22" t="n">
        <f aca="false">V14*(1-Annahmen!$B$17)+W11*Annahmen!$B$12/(1-Annahmen!$B$15*(1-W6))</f>
        <v>8.19134781076357</v>
      </c>
      <c r="X14" s="22" t="n">
        <f aca="false">W14*(1-Annahmen!$B$17)+X11*Annahmen!$B$12/(1-Annahmen!$B$15*(1-X6))</f>
        <v>8.26385489072043</v>
      </c>
      <c r="Y14" s="22" t="n">
        <f aca="false">X14*(1-Annahmen!$B$17)+Y11*Annahmen!$B$12/(1-Annahmen!$B$15*(1-Y6))</f>
        <v>8.33402594841924</v>
      </c>
    </row>
    <row r="15" customFormat="false" ht="15" hidden="false" customHeight="false" outlineLevel="0" collapsed="false">
      <c r="A15" s="5" t="s">
        <v>139</v>
      </c>
      <c r="B15" s="22" t="n">
        <f aca="false">0*(1-Annahmen!$B$18)+B11*Annahmen!$B$13/(1-Annahmen!$B$15*(1-B6))</f>
        <v>0.666666666666667</v>
      </c>
      <c r="C15" s="22" t="n">
        <f aca="false">B15*(1-Annahmen!$B$18)+C11*Annahmen!$B$13/(1-Annahmen!$B$15*(1-C6))</f>
        <v>1.32</v>
      </c>
      <c r="D15" s="22" t="n">
        <f aca="false">C15*(1-Annahmen!$B$18)+D11*Annahmen!$B$13/(1-Annahmen!$B$15*(1-D6))</f>
        <v>2.2936</v>
      </c>
      <c r="E15" s="22" t="n">
        <f aca="false">D15*(1-Annahmen!$B$18)+E11*Annahmen!$B$13/(1-Annahmen!$B$15*(1-E6))</f>
        <v>3.247728</v>
      </c>
      <c r="F15" s="22" t="n">
        <f aca="false">E15*(1-Annahmen!$B$18)+F11*Annahmen!$B$13/(1-Annahmen!$B$15*(1-F6))</f>
        <v>4.15106717033708</v>
      </c>
      <c r="G15" s="22" t="n">
        <f aca="false">F15*(1-Annahmen!$B$18)+G11*Annahmen!$B$13/(1-Annahmen!$B$15*(1-G6))</f>
        <v>4.88164301251246</v>
      </c>
      <c r="H15" s="22" t="n">
        <f aca="false">G15*(1-Annahmen!$B$18)+H11*Annahmen!$B$13/(1-Annahmen!$B$15*(1-H6))</f>
        <v>5.47322177877169</v>
      </c>
      <c r="I15" s="22" t="n">
        <f aca="false">H15*(1-Annahmen!$B$18)+I11*Annahmen!$B$13/(1-Annahmen!$B$15*(1-I6))</f>
        <v>5.83788122931086</v>
      </c>
      <c r="J15" s="22" t="n">
        <f aca="false">I15*(1-Annahmen!$B$18)+J11*Annahmen!$B$13/(1-Annahmen!$B$15*(1-J6))</f>
        <v>6.12253949188024</v>
      </c>
      <c r="K15" s="22" t="n">
        <f aca="false">J15*(1-Annahmen!$B$18)+K11*Annahmen!$B$13/(1-Annahmen!$B$15*(1-K6))</f>
        <v>6.3449052644264</v>
      </c>
      <c r="L15" s="22" t="n">
        <f aca="false">K15*(1-Annahmen!$B$18)+L11*Annahmen!$B$13/(1-Annahmen!$B$15*(1-L6))</f>
        <v>6.51877157489247</v>
      </c>
      <c r="M15" s="22" t="n">
        <f aca="false">L15*(1-Annahmen!$B$18)+M11*Annahmen!$B$13/(1-Annahmen!$B$15*(1-M6))</f>
        <v>6.65488110489932</v>
      </c>
      <c r="N15" s="22" t="n">
        <f aca="false">M15*(1-Annahmen!$B$18)+N11*Annahmen!$B$13/(1-Annahmen!$B$15*(1-N6))</f>
        <v>6.76160031493364</v>
      </c>
      <c r="O15" s="22" t="n">
        <f aca="false">N15*(1-Annahmen!$B$18)+O11*Annahmen!$B$13/(1-Annahmen!$B$15*(1-O6))</f>
        <v>6.84544461603421</v>
      </c>
      <c r="P15" s="22" t="n">
        <f aca="false">O15*(1-Annahmen!$B$18)+P11*Annahmen!$B$13/(1-Annahmen!$B$15*(1-P6))</f>
        <v>6.91148749907499</v>
      </c>
      <c r="Q15" s="22" t="n">
        <f aca="false">P15*(1-Annahmen!$B$18)+Q11*Annahmen!$B$13/(1-Annahmen!$B$15*(1-Q6))</f>
        <v>6.9636792611409</v>
      </c>
      <c r="R15" s="22" t="n">
        <f aca="false">Q15*(1-Annahmen!$B$18)+R11*Annahmen!$B$13/(1-Annahmen!$B$15*(1-R6))</f>
        <v>7.00509530352436</v>
      </c>
      <c r="S15" s="22" t="n">
        <f aca="false">R15*(1-Annahmen!$B$18)+S11*Annahmen!$B$13/(1-Annahmen!$B$15*(1-S6))</f>
        <v>7.03812956255661</v>
      </c>
      <c r="T15" s="22" t="n">
        <f aca="false">S15*(1-Annahmen!$B$18)+T11*Annahmen!$B$13/(1-Annahmen!$B$15*(1-T6))</f>
        <v>7.06464519628089</v>
      </c>
      <c r="U15" s="22" t="n">
        <f aca="false">T15*(1-Annahmen!$B$18)+U11*Annahmen!$B$13/(1-Annahmen!$B$15*(1-U6))</f>
        <v>7.0860919714266</v>
      </c>
      <c r="V15" s="22" t="n">
        <f aca="false">U15*(1-Annahmen!$B$18)+V11*Annahmen!$B$13/(1-Annahmen!$B$15*(1-V6))</f>
        <v>7.10359770841197</v>
      </c>
      <c r="W15" s="22" t="n">
        <f aca="false">V15*(1-Annahmen!$B$18)+W11*Annahmen!$B$13/(1-Annahmen!$B$15*(1-W6))</f>
        <v>7.11803951642737</v>
      </c>
      <c r="X15" s="22" t="n">
        <f aca="false">W15*(1-Annahmen!$B$18)+X11*Annahmen!$B$13/(1-Annahmen!$B$15*(1-X6))</f>
        <v>7.13009928416331</v>
      </c>
      <c r="Y15" s="22" t="n">
        <f aca="false">X15*(1-Annahmen!$B$18)+Y11*Annahmen!$B$13/(1-Annahmen!$B$15*(1-Y6))</f>
        <v>7.14030690508606</v>
      </c>
    </row>
    <row r="16" customFormat="false" ht="15" hidden="false" customHeight="false" outlineLevel="0" collapsed="false">
      <c r="A16" s="5" t="s">
        <v>140</v>
      </c>
      <c r="B16" s="22" t="n">
        <f aca="false">0*(1-Annahmen!$B$19)+B11*Annahmen!$B$14/(1-Annahmen!$B$15*(1-B6))</f>
        <v>0.666666666666667</v>
      </c>
      <c r="C16" s="22" t="n">
        <f aca="false">B16*(1-Annahmen!$B$19)+C11*Annahmen!$B$14/(1-Annahmen!$B$15*(1-C6))</f>
        <v>1.31333333333333</v>
      </c>
      <c r="D16" s="22" t="n">
        <f aca="false">C16*(1-Annahmen!$B$19)+D11*Annahmen!$B$14/(1-Annahmen!$B$15*(1-D6))</f>
        <v>2.27393333333333</v>
      </c>
      <c r="E16" s="22" t="n">
        <f aca="false">D16*(1-Annahmen!$B$19)+E11*Annahmen!$B$14/(1-Annahmen!$B$15*(1-E6))</f>
        <v>3.20571533333333</v>
      </c>
      <c r="F16" s="22" t="n">
        <f aca="false">E16*(1-Annahmen!$B$19)+F11*Annahmen!$B$14/(1-Annahmen!$B$15*(1-F6))</f>
        <v>4.07783760367041</v>
      </c>
      <c r="G16" s="22" t="n">
        <f aca="false">F16*(1-Annahmen!$B$19)+G11*Annahmen!$B$14/(1-Annahmen!$B$15*(1-G6))</f>
        <v>4.76909966114242</v>
      </c>
      <c r="H16" s="22" t="n">
        <f aca="false">G16*(1-Annahmen!$B$19)+H11*Annahmen!$B$14/(1-Annahmen!$B$15*(1-H6))</f>
        <v>5.31523829781763</v>
      </c>
      <c r="I16" s="22" t="n">
        <f aca="false">H16*(1-Annahmen!$B$19)+I11*Annahmen!$B$14/(1-Annahmen!$B$15*(1-I6))</f>
        <v>5.6299050349977</v>
      </c>
      <c r="J16" s="22" t="n">
        <f aca="false">I16*(1-Annahmen!$B$19)+J11*Annahmen!$B$14/(1-Annahmen!$B$15*(1-J6))</f>
        <v>5.86242377110337</v>
      </c>
      <c r="K16" s="22" t="n">
        <f aca="false">J16*(1-Annahmen!$B$19)+K11*Annahmen!$B$14/(1-Annahmen!$B$15*(1-K6))</f>
        <v>6.03136762035403</v>
      </c>
      <c r="L16" s="22" t="n">
        <f aca="false">K16*(1-Annahmen!$B$19)+L11*Annahmen!$B$14/(1-Annahmen!$B$15*(1-L6))</f>
        <v>6.15119100749801</v>
      </c>
      <c r="M16" s="22" t="n">
        <f aca="false">L16*(1-Annahmen!$B$19)+M11*Annahmen!$B$14/(1-Annahmen!$B$15*(1-M6))</f>
        <v>6.23314023877777</v>
      </c>
      <c r="N16" s="22" t="n">
        <f aca="false">M16*(1-Annahmen!$B$19)+N11*Annahmen!$B$14/(1-Annahmen!$B$15*(1-N6))</f>
        <v>6.28596286374674</v>
      </c>
      <c r="O16" s="22" t="n">
        <f aca="false">N16*(1-Annahmen!$B$19)+O11*Annahmen!$B$14/(1-Annahmen!$B$15*(1-O6))</f>
        <v>6.31646028523359</v>
      </c>
      <c r="P16" s="22" t="n">
        <f aca="false">O16*(1-Annahmen!$B$19)+P11*Annahmen!$B$14/(1-Annahmen!$B$15*(1-P6))</f>
        <v>6.32991825203804</v>
      </c>
      <c r="Q16" s="22" t="n">
        <f aca="false">P16*(1-Annahmen!$B$19)+Q11*Annahmen!$B$14/(1-Annahmen!$B$15*(1-Q6))</f>
        <v>6.33044221652431</v>
      </c>
      <c r="R16" s="22" t="n">
        <f aca="false">Q16*(1-Annahmen!$B$19)+R11*Annahmen!$B$14/(1-Annahmen!$B$15*(1-R6))</f>
        <v>6.32121857763486</v>
      </c>
      <c r="S16" s="22" t="n">
        <f aca="false">R16*(1-Annahmen!$B$19)+S11*Annahmen!$B$14/(1-Annahmen!$B$15*(1-S6))</f>
        <v>6.30471818540855</v>
      </c>
      <c r="T16" s="22" t="n">
        <f aca="false">S16*(1-Annahmen!$B$19)+T11*Annahmen!$B$14/(1-Annahmen!$B$15*(1-T6))</f>
        <v>6.2828548648217</v>
      </c>
      <c r="U16" s="22" t="n">
        <f aca="false">T16*(1-Annahmen!$B$19)+U11*Annahmen!$B$14/(1-Annahmen!$B$15*(1-U6))</f>
        <v>6.25710889794838</v>
      </c>
      <c r="V16" s="22" t="n">
        <f aca="false">U16*(1-Annahmen!$B$19)+V11*Annahmen!$B$14/(1-Annahmen!$B$15*(1-V6))</f>
        <v>6.22862320742384</v>
      </c>
      <c r="W16" s="22" t="n">
        <f aca="false">V16*(1-Annahmen!$B$19)+W11*Annahmen!$B$14/(1-Annahmen!$B$15*(1-W6))</f>
        <v>6.19827827338475</v>
      </c>
      <c r="X16" s="22" t="n">
        <f aca="false">W16*(1-Annahmen!$B$19)+X11*Annahmen!$B$14/(1-Annahmen!$B$15*(1-X6))</f>
        <v>6.1667504832477</v>
      </c>
      <c r="Y16" s="22" t="n">
        <f aca="false">X16*(1-Annahmen!$B$19)+Y11*Annahmen!$B$14/(1-Annahmen!$B$15*(1-Y6))</f>
        <v>6.13455757535629</v>
      </c>
    </row>
    <row r="17" customFormat="false" ht="15" hidden="false" customHeight="false" outlineLevel="0" collapsed="false">
      <c r="A17" s="5" t="s">
        <v>141</v>
      </c>
      <c r="B17" s="22" t="n">
        <f aca="false">0*(1-Annahmen!$B$20)+B11*Annahmen!$B$15*B6</f>
        <v>0</v>
      </c>
      <c r="C17" s="22" t="n">
        <f aca="false">B17*(1-Annahmen!$B$20)+C11*Annahmen!$B$15*C6</f>
        <v>0</v>
      </c>
      <c r="D17" s="22" t="n">
        <f aca="false">C17*(1-Annahmen!$B$20)+D11*Annahmen!$B$15*D6</f>
        <v>0</v>
      </c>
      <c r="E17" s="22" t="n">
        <f aca="false">D17*(1-Annahmen!$B$20)+E11*Annahmen!$B$15*E6</f>
        <v>0</v>
      </c>
      <c r="F17" s="22" t="n">
        <f aca="false">E17*(1-Annahmen!$B$20)+F11*Annahmen!$B$15*F6</f>
        <v>0</v>
      </c>
      <c r="G17" s="22" t="n">
        <f aca="false">F17*(1-Annahmen!$B$20)+G11*Annahmen!$B$15*G6</f>
        <v>0</v>
      </c>
      <c r="H17" s="22" t="n">
        <f aca="false">G17*(1-Annahmen!$B$20)+H11*Annahmen!$B$15*H6</f>
        <v>0</v>
      </c>
      <c r="I17" s="22" t="n">
        <f aca="false">H17*(1-Annahmen!$B$20)+I11*Annahmen!$B$15*I6</f>
        <v>0.474123886114604</v>
      </c>
      <c r="J17" s="22" t="n">
        <f aca="false">I17*(1-Annahmen!$B$20)+J11*Annahmen!$B$15*J6</f>
        <v>0.851833578964466</v>
      </c>
      <c r="K17" s="22" t="n">
        <f aca="false">J17*(1-Annahmen!$B$20)+K11*Annahmen!$B$15*K6</f>
        <v>1.15405846240001</v>
      </c>
      <c r="L17" s="22" t="n">
        <f aca="false">K17*(1-Annahmen!$B$20)+L11*Annahmen!$B$15*L6</f>
        <v>1.39711995503461</v>
      </c>
      <c r="M17" s="22" t="n">
        <f aca="false">L17*(1-Annahmen!$B$20)+M11*Annahmen!$B$15*M6</f>
        <v>1.59374891878758</v>
      </c>
      <c r="N17" s="22" t="n">
        <f aca="false">M17*(1-Annahmen!$B$20)+N11*Annahmen!$B$15*N6</f>
        <v>1.7538783049805</v>
      </c>
      <c r="O17" s="22" t="n">
        <f aca="false">N17*(1-Annahmen!$B$20)+O11*Annahmen!$B$15*O6</f>
        <v>1.88526069713073</v>
      </c>
      <c r="P17" s="22" t="n">
        <f aca="false">O17*(1-Annahmen!$B$20)+P11*Annahmen!$B$15*P6</f>
        <v>1.99394943763565</v>
      </c>
      <c r="Q17" s="22" t="n">
        <f aca="false">P17*(1-Annahmen!$B$20)+Q11*Annahmen!$B$15*Q6</f>
        <v>2.08467347780128</v>
      </c>
      <c r="R17" s="22" t="n">
        <f aca="false">Q17*(1-Annahmen!$B$20)+R11*Annahmen!$B$15*R6</f>
        <v>2.16112943151749</v>
      </c>
      <c r="S17" s="22" t="n">
        <f aca="false">R17*(1-Annahmen!$B$20)+S11*Annahmen!$B$15*S6</f>
        <v>2.22620912504435</v>
      </c>
      <c r="T17" s="22" t="n">
        <f aca="false">S17*(1-Annahmen!$B$20)+T11*Annahmen!$B$15*T6</f>
        <v>2.28217689376755</v>
      </c>
      <c r="U17" s="22" t="n">
        <f aca="false">T17*(1-Annahmen!$B$20)+U11*Annahmen!$B$15*U6</f>
        <v>2.3308077281505</v>
      </c>
      <c r="V17" s="22" t="n">
        <f aca="false">U17*(1-Annahmen!$B$20)+V11*Annahmen!$B$15*V6</f>
        <v>2.37349491815688</v>
      </c>
      <c r="W17" s="22" t="n">
        <f aca="false">V17*(1-Annahmen!$B$20)+W11*Annahmen!$B$15*W6</f>
        <v>2.41133393443267</v>
      </c>
      <c r="X17" s="22" t="n">
        <f aca="false">W17*(1-Annahmen!$B$20)+X11*Annahmen!$B$15*X6</f>
        <v>2.44518779577553</v>
      </c>
      <c r="Y17" s="22" t="n">
        <f aca="false">X17*(1-Annahmen!$B$20)+Y11*Annahmen!$B$15*Y6</f>
        <v>2.47573801259277</v>
      </c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customFormat="false" ht="15" hidden="false" customHeight="false" outlineLevel="0" collapsed="false">
      <c r="A19" s="7" t="s">
        <v>142</v>
      </c>
      <c r="B19" s="25" t="n">
        <f aca="false">B14*Annahmen!$B$6+B15*Annahmen!$B$7+B16*Annahmen!$B$9+B17*Annahmen!$B$10</f>
        <v>1186</v>
      </c>
      <c r="C19" s="25" t="n">
        <f aca="false">C14*Annahmen!$B$6+C15*Annahmen!$B$7+C16*Annahmen!$B$9+C17*Annahmen!$B$10</f>
        <v>2345.27333333333</v>
      </c>
      <c r="D19" s="25" t="n">
        <f aca="false">D14*Annahmen!$B$6+D15*Annahmen!$B$7+D16*Annahmen!$B$9+D17*Annahmen!$B$10</f>
        <v>4071.45393333333</v>
      </c>
      <c r="E19" s="25" t="n">
        <f aca="false">E14*Annahmen!$B$6+E15*Annahmen!$B$7+E16*Annahmen!$B$9+E17*Annahmen!$B$10</f>
        <v>5758.79664733333</v>
      </c>
      <c r="F19" s="25" t="n">
        <f aca="false">F14*Annahmen!$B$6+F15*Annahmen!$B$7+F16*Annahmen!$B$9+F17*Annahmen!$B$10</f>
        <v>7351.815824463</v>
      </c>
      <c r="G19" s="25" t="n">
        <f aca="false">G14*Annahmen!$B$6+G15*Annahmen!$B$7+G16*Annahmen!$B$9+G17*Annahmen!$B$10</f>
        <v>8633.87984896378</v>
      </c>
      <c r="H19" s="25" t="n">
        <f aca="false">H14*Annahmen!$B$6+H15*Annahmen!$B$7+H16*Annahmen!$B$9+H17*Annahmen!$B$10</f>
        <v>9665.95834570973</v>
      </c>
      <c r="I19" s="25" t="n">
        <f aca="false">I14*Annahmen!$B$6+I15*Annahmen!$B$7+I16*Annahmen!$B$9+I17*Annahmen!$B$10</f>
        <v>10666.9132082164</v>
      </c>
      <c r="J19" s="25" t="n">
        <f aca="false">J14*Annahmen!$B$6+J15*Annahmen!$B$7+J16*Annahmen!$B$9+J17*Annahmen!$B$10</f>
        <v>11448.4773764429</v>
      </c>
      <c r="K19" s="25" t="n">
        <f aca="false">K14*Annahmen!$B$6+K15*Annahmen!$B$7+K16*Annahmen!$B$9+K17*Annahmen!$B$10</f>
        <v>12059.0809831743</v>
      </c>
      <c r="L19" s="25" t="n">
        <f aca="false">L14*Annahmen!$B$6+L15*Annahmen!$B$7+L16*Annahmen!$B$9+L17*Annahmen!$B$10</f>
        <v>12536.4551141059</v>
      </c>
      <c r="M19" s="25" t="n">
        <f aca="false">M14*Annahmen!$B$6+M15*Annahmen!$B$7+M16*Annahmen!$B$9+M17*Annahmen!$B$10</f>
        <v>12909.9956702721</v>
      </c>
      <c r="N19" s="25" t="n">
        <f aca="false">N14*Annahmen!$B$6+N15*Annahmen!$B$7+N16*Annahmen!$B$9+N17*Annahmen!$B$10</f>
        <v>13202.604945852</v>
      </c>
      <c r="O19" s="25" t="n">
        <f aca="false">O14*Annahmen!$B$6+O15*Annahmen!$B$7+O16*Annahmen!$B$9+O17*Annahmen!$B$10</f>
        <v>13432.1263181341</v>
      </c>
      <c r="P19" s="25" t="n">
        <f aca="false">P14*Annahmen!$B$6+P15*Annahmen!$B$7+P16*Annahmen!$B$9+P17*Annahmen!$B$10</f>
        <v>13612.4619499298</v>
      </c>
      <c r="Q19" s="25" t="n">
        <f aca="false">Q14*Annahmen!$B$6+Q15*Annahmen!$B$7+Q16*Annahmen!$B$9+Q17*Annahmen!$B$10</f>
        <v>13754.4435415908</v>
      </c>
      <c r="R19" s="25" t="n">
        <f aca="false">R14*Annahmen!$B$6+R15*Annahmen!$B$7+R16*Annahmen!$B$9+R17*Annahmen!$B$10</f>
        <v>13866.5106953375</v>
      </c>
      <c r="S19" s="25" t="n">
        <f aca="false">S14*Annahmen!$B$6+S15*Annahmen!$B$7+S16*Annahmen!$B$9+S17*Annahmen!$B$10</f>
        <v>13955.2393991777</v>
      </c>
      <c r="T19" s="25" t="n">
        <f aca="false">T14*Annahmen!$B$6+T15*Annahmen!$B$7+T16*Annahmen!$B$9+T17*Annahmen!$B$10</f>
        <v>14025.7537458737</v>
      </c>
      <c r="U19" s="25" t="n">
        <f aca="false">U14*Annahmen!$B$6+U15*Annahmen!$B$7+U16*Annahmen!$B$9+U17*Annahmen!$B$10</f>
        <v>14082.0466856763</v>
      </c>
      <c r="V19" s="25" t="n">
        <f aca="false">V14*Annahmen!$B$6+V15*Annahmen!$B$7+V16*Annahmen!$B$9+V17*Annahmen!$B$10</f>
        <v>14127.2299114186</v>
      </c>
      <c r="W19" s="25" t="n">
        <f aca="false">W14*Annahmen!$B$6+W15*Annahmen!$B$7+W16*Annahmen!$B$9+W17*Annahmen!$B$10</f>
        <v>14163.7285338531</v>
      </c>
      <c r="X19" s="25" t="n">
        <f aca="false">X14*Annahmen!$B$6+X15*Annahmen!$B$7+X16*Annahmen!$B$9+X17*Annahmen!$B$10</f>
        <v>14193.4327455655</v>
      </c>
      <c r="Y19" s="25" t="n">
        <f aca="false">Y14*Annahmen!$B$6+Y15*Annahmen!$B$7+Y16*Annahmen!$B$9+Y17*Annahmen!$B$10</f>
        <v>14217.8159766269</v>
      </c>
    </row>
    <row r="20" customFormat="false" ht="15" hidden="false" customHeight="false" outlineLevel="0" collapsed="false">
      <c r="A20" s="5" t="s">
        <v>143</v>
      </c>
      <c r="B20" s="26" t="n">
        <f aca="false">B11*(Annahmen!$B$12/(1-Annahmen!$B$15*(1-B6))*Annahmen!$B$5+Annahmen!$B$13/(1-Annahmen!$B$15*(1-B6))*Annahmen!$B$8+Annahmen!$B$15*B6*Annahmen!$B$11)</f>
        <v>2460</v>
      </c>
      <c r="C20" s="26" t="n">
        <f aca="false">C11*(Annahmen!$B$12/(1-Annahmen!$B$15*(1-C6))*Annahmen!$B$5+Annahmen!$B$13/(1-Annahmen!$B$15*(1-C6))*Annahmen!$B$8+Annahmen!$B$15*C6*Annahmen!$B$11)</f>
        <v>2460</v>
      </c>
      <c r="D20" s="26" t="n">
        <f aca="false">D11*(Annahmen!$B$12/(1-Annahmen!$B$15*(1-D6))*Annahmen!$B$5+Annahmen!$B$13/(1-Annahmen!$B$15*(1-D6))*Annahmen!$B$8+Annahmen!$B$15*D6*Annahmen!$B$11)</f>
        <v>3690</v>
      </c>
      <c r="E20" s="26" t="n">
        <f aca="false">E11*(Annahmen!$B$12/(1-Annahmen!$B$15*(1-E6))*Annahmen!$B$5+Annahmen!$B$13/(1-Annahmen!$B$15*(1-E6))*Annahmen!$B$8+Annahmen!$B$15*E6*Annahmen!$B$11)</f>
        <v>3690</v>
      </c>
      <c r="F20" s="26" t="n">
        <f aca="false">F11*(Annahmen!$B$12/(1-Annahmen!$B$15*(1-F6))*Annahmen!$B$5+Annahmen!$B$13/(1-Annahmen!$B$15*(1-F6))*Annahmen!$B$8+Annahmen!$B$15*F6*Annahmen!$B$11)</f>
        <v>3573.00386494382</v>
      </c>
      <c r="G20" s="26" t="n">
        <f aca="false">G11*(Annahmen!$B$12/(1-Annahmen!$B$15*(1-G6))*Annahmen!$B$5+Annahmen!$B$13/(1-Annahmen!$B$15*(1-G6))*Annahmen!$B$8+Annahmen!$B$15*G6*Annahmen!$B$11)</f>
        <v>3002.17361479804</v>
      </c>
      <c r="H20" s="26" t="n">
        <f aca="false">H11*(Annahmen!$B$12/(1-Annahmen!$B$15*(1-H6))*Annahmen!$B$5+Annahmen!$B$13/(1-Annahmen!$B$15*(1-H6))*Annahmen!$B$8+Annahmen!$B$15*H6*Annahmen!$B$11)</f>
        <v>2543.19090181998</v>
      </c>
      <c r="I20" s="26" t="n">
        <f aca="false">I11*(Annahmen!$B$12/(1-Annahmen!$B$15*(1-I6))*Annahmen!$B$5+Annahmen!$B$13/(1-Annahmen!$B$15*(1-I6))*Annahmen!$B$8+Annahmen!$B$15*I6*Annahmen!$B$11)</f>
        <v>2455.96173007365</v>
      </c>
      <c r="J20" s="26" t="n">
        <f aca="false">J11*(Annahmen!$B$12/(1-Annahmen!$B$15*(1-J6))*Annahmen!$B$5+Annahmen!$B$13/(1-Annahmen!$B$15*(1-J6))*Annahmen!$B$8+Annahmen!$B$15*J6*Annahmen!$B$11)</f>
        <v>2079.33429546597</v>
      </c>
      <c r="K20" s="26" t="n">
        <f aca="false">K11*(Annahmen!$B$12/(1-Annahmen!$B$15*(1-K6))*Annahmen!$B$5+Annahmen!$B$13/(1-Annahmen!$B$15*(1-K6))*Annahmen!$B$8+Annahmen!$B$15*K6*Annahmen!$B$11)</f>
        <v>1786.14979314792</v>
      </c>
      <c r="L20" s="26" t="n">
        <f aca="false">L11*(Annahmen!$B$12/(1-Annahmen!$B$15*(1-L6))*Annahmen!$B$5+Annahmen!$B$13/(1-Annahmen!$B$15*(1-L6))*Annahmen!$B$8+Annahmen!$B$15*L6*Annahmen!$B$11)</f>
        <v>1557.95967360882</v>
      </c>
      <c r="M20" s="26" t="n">
        <f aca="false">M11*(Annahmen!$B$12/(1-Annahmen!$B$15*(1-M6))*Annahmen!$B$5+Annahmen!$B$13/(1-Annahmen!$B$15*(1-M6))*Annahmen!$B$8+Annahmen!$B$15*M6*Annahmen!$B$11)</f>
        <v>1380.39210059433</v>
      </c>
      <c r="N20" s="26" t="n">
        <f aca="false">N11*(Annahmen!$B$12/(1-Annahmen!$B$15*(1-N6))*Annahmen!$B$5+Annahmen!$B$13/(1-Annahmen!$B$15*(1-N6))*Annahmen!$B$8+Annahmen!$B$15*N6*Annahmen!$B$11)</f>
        <v>1242.25119044534</v>
      </c>
      <c r="O20" s="26" t="n">
        <f aca="false">O11*(Annahmen!$B$12/(1-Annahmen!$B$15*(1-O6))*Annahmen!$B$5+Annahmen!$B$13/(1-Annahmen!$B$15*(1-O6))*Annahmen!$B$8+Annahmen!$B$15*O6*Annahmen!$B$11)</f>
        <v>1134.81527232811</v>
      </c>
      <c r="P20" s="26" t="n">
        <f aca="false">P11*(Annahmen!$B$12/(1-Annahmen!$B$15*(1-P6))*Annahmen!$B$5+Annahmen!$B$13/(1-Annahmen!$B$15*(1-P6))*Annahmen!$B$8+Annahmen!$B$15*P6*Annahmen!$B$11)</f>
        <v>1051.29019637236</v>
      </c>
      <c r="Q20" s="26" t="n">
        <f aca="false">Q11*(Annahmen!$B$12/(1-Annahmen!$B$15*(1-Q6))*Annahmen!$B$5+Annahmen!$B$13/(1-Annahmen!$B$15*(1-Q6))*Annahmen!$B$8+Annahmen!$B$15*Q6*Annahmen!$B$11)</f>
        <v>986.383432405621</v>
      </c>
      <c r="R20" s="26" t="n">
        <f aca="false">R11*(Annahmen!$B$12/(1-Annahmen!$B$15*(1-R6))*Annahmen!$B$5+Annahmen!$B$13/(1-Annahmen!$B$15*(1-R6))*Annahmen!$B$8+Annahmen!$B$15*R6*Annahmen!$B$11)</f>
        <v>935.972271000502</v>
      </c>
      <c r="S20" s="26" t="n">
        <f aca="false">S11*(Annahmen!$B$12/(1-Annahmen!$B$15*(1-S6))*Annahmen!$B$5+Annahmen!$B$13/(1-Annahmen!$B$15*(1-S6))*Annahmen!$B$8+Annahmen!$B$15*S6*Annahmen!$B$11)</f>
        <v>896.845335232152</v>
      </c>
      <c r="T20" s="26" t="n">
        <f aca="false">T11*(Annahmen!$B$12/(1-Annahmen!$B$15*(1-T6))*Annahmen!$B$5+Annahmen!$B$13/(1-Annahmen!$B$15*(1-T6))*Annahmen!$B$8+Annahmen!$B$15*T6*Annahmen!$B$11)</f>
        <v>866.501205372634</v>
      </c>
      <c r="U20" s="26" t="n">
        <f aca="false">U11*(Annahmen!$B$12/(1-Annahmen!$B$15*(1-U6))*Annahmen!$B$5+Annahmen!$B$13/(1-Annahmen!$B$15*(1-U6))*Annahmen!$B$8+Annahmen!$B$15*U6*Annahmen!$B$11)</f>
        <v>842.991537589491</v>
      </c>
      <c r="V20" s="26" t="n">
        <f aca="false">V11*(Annahmen!$B$12/(1-Annahmen!$B$15*(1-V6))*Annahmen!$B$5+Annahmen!$B$13/(1-Annahmen!$B$15*(1-V6))*Annahmen!$B$8+Annahmen!$B$15*V6*Annahmen!$B$11)</f>
        <v>824.798845824049</v>
      </c>
      <c r="W20" s="26" t="n">
        <f aca="false">W11*(Annahmen!$B$12/(1-Annahmen!$B$15*(1-W6))*Annahmen!$B$5+Annahmen!$B$13/(1-Annahmen!$B$15*(1-W6))*Annahmen!$B$8+Annahmen!$B$15*W6*Annahmen!$B$11)</f>
        <v>810.741288111209</v>
      </c>
      <c r="X20" s="26" t="n">
        <f aca="false">X11*(Annahmen!$B$12/(1-Annahmen!$B$15*(1-X6))*Annahmen!$B$5+Annahmen!$B$13/(1-Annahmen!$B$15*(1-X6))*Annahmen!$B$8+Annahmen!$B$15*X6*Annahmen!$B$11)</f>
        <v>799.898490774073</v>
      </c>
      <c r="Y20" s="26" t="n">
        <f aca="false">Y11*(Annahmen!$B$12/(1-Annahmen!$B$15*(1-Y6))*Annahmen!$B$5+Annahmen!$B$13/(1-Annahmen!$B$15*(1-Y6))*Annahmen!$B$8+Annahmen!$B$15*Y6*Annahmen!$B$11)</f>
        <v>791.553762219171</v>
      </c>
    </row>
    <row r="21" customFormat="false" ht="15" hidden="false" customHeight="false" outlineLevel="0" collapsed="false">
      <c r="A21" s="7" t="s">
        <v>144</v>
      </c>
      <c r="B21" s="25" t="n">
        <f aca="false">B19+B20</f>
        <v>3646</v>
      </c>
      <c r="C21" s="25" t="n">
        <f aca="false">C19+C20</f>
        <v>4805.27333333333</v>
      </c>
      <c r="D21" s="25" t="n">
        <f aca="false">D19+D20</f>
        <v>7761.45393333333</v>
      </c>
      <c r="E21" s="25" t="n">
        <f aca="false">E19+E20</f>
        <v>9448.79664733333</v>
      </c>
      <c r="F21" s="25" t="n">
        <f aca="false">F19+F20</f>
        <v>10924.8196894068</v>
      </c>
      <c r="G21" s="25" t="n">
        <f aca="false">G19+G20</f>
        <v>11636.0534637618</v>
      </c>
      <c r="H21" s="25" t="n">
        <f aca="false">H19+H20</f>
        <v>12209.1492475297</v>
      </c>
      <c r="I21" s="25" t="n">
        <f aca="false">I19+I20</f>
        <v>13122.87493829</v>
      </c>
      <c r="J21" s="25" t="n">
        <f aca="false">J19+J20</f>
        <v>13527.8116719089</v>
      </c>
      <c r="K21" s="25" t="n">
        <f aca="false">K19+K20</f>
        <v>13845.2307763222</v>
      </c>
      <c r="L21" s="25" t="n">
        <f aca="false">L19+L20</f>
        <v>14094.4147877147</v>
      </c>
      <c r="M21" s="25" t="n">
        <f aca="false">M19+M20</f>
        <v>14290.3877708664</v>
      </c>
      <c r="N21" s="25" t="n">
        <f aca="false">N19+N20</f>
        <v>14444.8561362973</v>
      </c>
      <c r="O21" s="25" t="n">
        <f aca="false">O19+O20</f>
        <v>14566.9415904622</v>
      </c>
      <c r="P21" s="25" t="n">
        <f aca="false">P19+P20</f>
        <v>14663.7521463021</v>
      </c>
      <c r="Q21" s="25" t="n">
        <f aca="false">Q19+Q20</f>
        <v>14740.8269739964</v>
      </c>
      <c r="R21" s="25" t="n">
        <f aca="false">R19+R20</f>
        <v>14802.482966338</v>
      </c>
      <c r="S21" s="25" t="n">
        <f aca="false">S19+S20</f>
        <v>14852.0847344099</v>
      </c>
      <c r="T21" s="25" t="n">
        <f aca="false">T19+T20</f>
        <v>14892.2549512463</v>
      </c>
      <c r="U21" s="25" t="n">
        <f aca="false">U19+U20</f>
        <v>14925.0382232658</v>
      </c>
      <c r="V21" s="25" t="n">
        <f aca="false">V19+V20</f>
        <v>14952.0287572427</v>
      </c>
      <c r="W21" s="25" t="n">
        <f aca="false">W19+W20</f>
        <v>14974.4698219643</v>
      </c>
      <c r="X21" s="25" t="n">
        <f aca="false">X19+X20</f>
        <v>14993.3312363396</v>
      </c>
      <c r="Y21" s="25" t="n">
        <f aca="false">Y19+Y20</f>
        <v>15009.3697388461</v>
      </c>
    </row>
    <row r="22" customFormat="false" ht="15" hidden="false" customHeight="false" outlineLevel="0" collapsed="false">
      <c r="A22" s="5" t="s">
        <v>145</v>
      </c>
      <c r="B22" s="26" t="n">
        <f aca="false">Annahmen!$B$42+Annahmen!$B$43+B7*Annahmen!$B$40</f>
        <v>355</v>
      </c>
      <c r="C22" s="26" t="n">
        <f aca="false">Annahmen!$B$42+Annahmen!$B$43+C7*Annahmen!$B$40</f>
        <v>355</v>
      </c>
      <c r="D22" s="26" t="n">
        <f aca="false">Annahmen!$B$42+Annahmen!$B$43+D7*Annahmen!$B$40</f>
        <v>355</v>
      </c>
      <c r="E22" s="26" t="n">
        <f aca="false">Annahmen!$B$42+Annahmen!$B$43+E7*Annahmen!$B$40</f>
        <v>355</v>
      </c>
      <c r="F22" s="26" t="n">
        <f aca="false">Annahmen!$B$42+Annahmen!$B$43+F7*Annahmen!$B$40</f>
        <v>355</v>
      </c>
      <c r="G22" s="26" t="n">
        <f aca="false">Annahmen!$B$42+Annahmen!$B$43+G7*Annahmen!$B$40</f>
        <v>355</v>
      </c>
      <c r="H22" s="26" t="n">
        <f aca="false">Annahmen!$B$42+Annahmen!$B$43+H7*Annahmen!$B$40</f>
        <v>355</v>
      </c>
      <c r="I22" s="26" t="n">
        <f aca="false">Annahmen!$B$42+Annahmen!$B$43+I7*Annahmen!$B$40</f>
        <v>355</v>
      </c>
      <c r="J22" s="26" t="n">
        <f aca="false">Annahmen!$B$42+Annahmen!$B$43+J7*Annahmen!$B$40</f>
        <v>355</v>
      </c>
      <c r="K22" s="26" t="n">
        <f aca="false">Annahmen!$B$42+Annahmen!$B$43+K7*Annahmen!$B$40</f>
        <v>355</v>
      </c>
      <c r="L22" s="26" t="n">
        <f aca="false">Annahmen!$B$42+Annahmen!$B$43+L7*Annahmen!$B$40</f>
        <v>355</v>
      </c>
      <c r="M22" s="26" t="n">
        <f aca="false">Annahmen!$B$42+Annahmen!$B$43+M7*Annahmen!$B$40</f>
        <v>355</v>
      </c>
      <c r="N22" s="26" t="n">
        <f aca="false">Annahmen!$B$42+Annahmen!$B$43+N7*Annahmen!$B$40</f>
        <v>355</v>
      </c>
      <c r="O22" s="26" t="n">
        <f aca="false">Annahmen!$B$42+Annahmen!$B$43+O7*Annahmen!$B$40</f>
        <v>355</v>
      </c>
      <c r="P22" s="26" t="n">
        <f aca="false">Annahmen!$B$42+Annahmen!$B$43+P7*Annahmen!$B$40</f>
        <v>355</v>
      </c>
      <c r="Q22" s="26" t="n">
        <f aca="false">Annahmen!$B$42+Annahmen!$B$43+Q7*Annahmen!$B$40</f>
        <v>355</v>
      </c>
      <c r="R22" s="26" t="n">
        <f aca="false">Annahmen!$B$42+Annahmen!$B$43+R7*Annahmen!$B$40</f>
        <v>355</v>
      </c>
      <c r="S22" s="26" t="n">
        <f aca="false">Annahmen!$B$42+Annahmen!$B$43+S7*Annahmen!$B$40</f>
        <v>355</v>
      </c>
      <c r="T22" s="26" t="n">
        <f aca="false">Annahmen!$B$42+Annahmen!$B$43+T7*Annahmen!$B$40</f>
        <v>355</v>
      </c>
      <c r="U22" s="26" t="n">
        <f aca="false">Annahmen!$B$42+Annahmen!$B$43+U7*Annahmen!$B$40</f>
        <v>355</v>
      </c>
      <c r="V22" s="26" t="n">
        <f aca="false">Annahmen!$B$42+Annahmen!$B$43+V7*Annahmen!$B$40</f>
        <v>355</v>
      </c>
      <c r="W22" s="26" t="n">
        <f aca="false">Annahmen!$B$42+Annahmen!$B$43+W7*Annahmen!$B$40</f>
        <v>355</v>
      </c>
      <c r="X22" s="26" t="n">
        <f aca="false">Annahmen!$B$42+Annahmen!$B$43+X7*Annahmen!$B$40</f>
        <v>355</v>
      </c>
      <c r="Y22" s="26" t="n">
        <f aca="false">Annahmen!$B$42+Annahmen!$B$43+Y7*Annahmen!$B$40</f>
        <v>355</v>
      </c>
    </row>
    <row r="23" customFormat="false" ht="15" hidden="false" customHeight="false" outlineLevel="0" collapsed="false">
      <c r="A23" s="7" t="s">
        <v>146</v>
      </c>
      <c r="B23" s="25" t="n">
        <f aca="false">B21-B22</f>
        <v>3291</v>
      </c>
      <c r="C23" s="25" t="n">
        <f aca="false">C21-C22</f>
        <v>4450.27333333333</v>
      </c>
      <c r="D23" s="25" t="n">
        <f aca="false">D21-D22</f>
        <v>7406.45393333333</v>
      </c>
      <c r="E23" s="25" t="n">
        <f aca="false">E21-E22</f>
        <v>9093.79664733333</v>
      </c>
      <c r="F23" s="25" t="n">
        <f aca="false">F21-F22</f>
        <v>10569.8196894068</v>
      </c>
      <c r="G23" s="25" t="n">
        <f aca="false">G21-G22</f>
        <v>11281.0534637618</v>
      </c>
      <c r="H23" s="25" t="n">
        <f aca="false">H21-H22</f>
        <v>11854.1492475297</v>
      </c>
      <c r="I23" s="25" t="n">
        <f aca="false">I21-I22</f>
        <v>12767.87493829</v>
      </c>
      <c r="J23" s="25" t="n">
        <f aca="false">J21-J22</f>
        <v>13172.8116719089</v>
      </c>
      <c r="K23" s="25" t="n">
        <f aca="false">K21-K22</f>
        <v>13490.2307763222</v>
      </c>
      <c r="L23" s="25" t="n">
        <f aca="false">L21-L22</f>
        <v>13739.4147877147</v>
      </c>
      <c r="M23" s="25" t="n">
        <f aca="false">M21-M22</f>
        <v>13935.3877708664</v>
      </c>
      <c r="N23" s="25" t="n">
        <f aca="false">N21-N22</f>
        <v>14089.8561362973</v>
      </c>
      <c r="O23" s="25" t="n">
        <f aca="false">O21-O22</f>
        <v>14211.9415904622</v>
      </c>
      <c r="P23" s="25" t="n">
        <f aca="false">P21-P22</f>
        <v>14308.7521463021</v>
      </c>
      <c r="Q23" s="25" t="n">
        <f aca="false">Q21-Q22</f>
        <v>14385.8269739964</v>
      </c>
      <c r="R23" s="25" t="n">
        <f aca="false">R21-R22</f>
        <v>14447.482966338</v>
      </c>
      <c r="S23" s="25" t="n">
        <f aca="false">S21-S22</f>
        <v>14497.0847344099</v>
      </c>
      <c r="T23" s="25" t="n">
        <f aca="false">T21-T22</f>
        <v>14537.2549512463</v>
      </c>
      <c r="U23" s="25" t="n">
        <f aca="false">U21-U22</f>
        <v>14570.0382232658</v>
      </c>
      <c r="V23" s="25" t="n">
        <f aca="false">V21-V22</f>
        <v>14597.0287572427</v>
      </c>
      <c r="W23" s="25" t="n">
        <f aca="false">W21-W22</f>
        <v>14619.4698219643</v>
      </c>
      <c r="X23" s="25" t="n">
        <f aca="false">X21-X22</f>
        <v>14638.3312363396</v>
      </c>
      <c r="Y23" s="25" t="n">
        <f aca="false">Y21-Y22</f>
        <v>14654.3697388461</v>
      </c>
    </row>
    <row r="24" customFormat="false" ht="15" hidden="false" customHeight="false" outlineLevel="0" collapsed="false">
      <c r="A24" s="7" t="s">
        <v>147</v>
      </c>
      <c r="B24" s="16" t="n">
        <f aca="false">B23</f>
        <v>3291</v>
      </c>
      <c r="C24" s="16" t="n">
        <f aca="false">B24+C23</f>
        <v>7741.27333333333</v>
      </c>
      <c r="D24" s="16" t="n">
        <f aca="false">C24+D23</f>
        <v>15147.7272666667</v>
      </c>
      <c r="E24" s="16" t="n">
        <f aca="false">D24+E23</f>
        <v>24241.523914</v>
      </c>
      <c r="F24" s="16" t="n">
        <f aca="false">E24+F23</f>
        <v>34811.3436034068</v>
      </c>
      <c r="G24" s="16" t="n">
        <f aca="false">F24+G23</f>
        <v>46092.3970671686</v>
      </c>
      <c r="H24" s="16" t="n">
        <f aca="false">G24+H23</f>
        <v>57946.5463146983</v>
      </c>
      <c r="I24" s="16" t="n">
        <f aca="false">H24+I23</f>
        <v>70714.4212529883</v>
      </c>
      <c r="J24" s="16" t="n">
        <f aca="false">I24+J23</f>
        <v>83887.2329248972</v>
      </c>
      <c r="K24" s="16" t="n">
        <f aca="false">J24+K23</f>
        <v>97377.4637012194</v>
      </c>
      <c r="L24" s="16" t="n">
        <f aca="false">K24+L23</f>
        <v>111116.878488934</v>
      </c>
      <c r="M24" s="16" t="n">
        <f aca="false">L24+M23</f>
        <v>125052.266259801</v>
      </c>
      <c r="N24" s="16" t="n">
        <f aca="false">M24+N23</f>
        <v>139142.122396098</v>
      </c>
      <c r="O24" s="16" t="n">
        <f aca="false">N24+O23</f>
        <v>153354.06398656</v>
      </c>
      <c r="P24" s="16" t="n">
        <f aca="false">O24+P23</f>
        <v>167662.816132862</v>
      </c>
      <c r="Q24" s="16" t="n">
        <f aca="false">P24+Q23</f>
        <v>182048.643106859</v>
      </c>
      <c r="R24" s="16" t="n">
        <f aca="false">Q24+R23</f>
        <v>196496.126073197</v>
      </c>
      <c r="S24" s="16" t="n">
        <f aca="false">R24+S23</f>
        <v>210993.210807606</v>
      </c>
      <c r="T24" s="16" t="n">
        <f aca="false">S24+T23</f>
        <v>225530.465758853</v>
      </c>
      <c r="U24" s="16" t="n">
        <f aca="false">T24+U23</f>
        <v>240100.503982119</v>
      </c>
      <c r="V24" s="16" t="n">
        <f aca="false">U24+V23</f>
        <v>254697.532739361</v>
      </c>
      <c r="W24" s="16" t="n">
        <f aca="false">V24+W23</f>
        <v>269317.002561326</v>
      </c>
      <c r="X24" s="16" t="n">
        <f aca="false">W24+X23</f>
        <v>283955.333797665</v>
      </c>
      <c r="Y24" s="16" t="n">
        <f aca="false">X24+Y23</f>
        <v>298609.703536511</v>
      </c>
    </row>
    <row r="25" customFormat="false" ht="15" hidden="false" customHeight="false" outlineLevel="0" collapsed="false">
      <c r="A25" s="5" t="s">
        <v>148</v>
      </c>
      <c r="B25" s="22" t="n">
        <f aca="false">B9+B11*B8</f>
        <v>74.1666666666667</v>
      </c>
      <c r="C25" s="22" t="n">
        <f aca="false">C9+C11*C8</f>
        <v>87</v>
      </c>
      <c r="D25" s="22" t="n">
        <f aca="false">D9+D11*D8</f>
        <v>136.621666666667</v>
      </c>
      <c r="E25" s="22" t="n">
        <f aca="false">E9+E11*E8</f>
        <v>155.28875</v>
      </c>
      <c r="F25" s="22" t="n">
        <f aca="false">F9+F11*F8</f>
        <v>170</v>
      </c>
      <c r="G25" s="22" t="n">
        <f aca="false">G9+G11*G8</f>
        <v>170</v>
      </c>
      <c r="H25" s="22" t="n">
        <f aca="false">H9+H11*H8</f>
        <v>170</v>
      </c>
      <c r="I25" s="22" t="n">
        <f aca="false">I9+I11*I8</f>
        <v>170</v>
      </c>
      <c r="J25" s="22" t="n">
        <f aca="false">J9+J11*J8</f>
        <v>170</v>
      </c>
      <c r="K25" s="22" t="n">
        <f aca="false">K9+K11*K8</f>
        <v>170</v>
      </c>
      <c r="L25" s="22" t="n">
        <f aca="false">L9+L11*L8</f>
        <v>170</v>
      </c>
      <c r="M25" s="22" t="n">
        <f aca="false">M9+M11*M8</f>
        <v>170</v>
      </c>
      <c r="N25" s="22" t="n">
        <f aca="false">N9+N11*N8</f>
        <v>170</v>
      </c>
      <c r="O25" s="22" t="n">
        <f aca="false">O9+O11*O8</f>
        <v>170</v>
      </c>
      <c r="P25" s="22" t="n">
        <f aca="false">P9+P11*P8</f>
        <v>170</v>
      </c>
      <c r="Q25" s="22" t="n">
        <f aca="false">Q9+Q11*Q8</f>
        <v>170</v>
      </c>
      <c r="R25" s="22" t="n">
        <f aca="false">R9+R11*R8</f>
        <v>170</v>
      </c>
      <c r="S25" s="22" t="n">
        <f aca="false">S9+S11*S8</f>
        <v>170</v>
      </c>
      <c r="T25" s="22" t="n">
        <f aca="false">T9+T11*T8</f>
        <v>170</v>
      </c>
      <c r="U25" s="22" t="n">
        <f aca="false">U9+U11*U8</f>
        <v>170</v>
      </c>
      <c r="V25" s="22" t="n">
        <f aca="false">V9+V11*V8</f>
        <v>170</v>
      </c>
      <c r="W25" s="22" t="n">
        <f aca="false">W9+W11*W8</f>
        <v>170</v>
      </c>
      <c r="X25" s="22" t="n">
        <f aca="false">X9+X11*X8</f>
        <v>170</v>
      </c>
      <c r="Y25" s="22" t="n">
        <f aca="false">Y9+Y11*Y8</f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5" min="2" style="0" width="10"/>
  </cols>
  <sheetData>
    <row r="1" customFormat="false" ht="17.35" hidden="false" customHeight="false" outlineLevel="0" collapsed="false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" hidden="false" customHeight="false" outlineLevel="0" collapsed="false">
      <c r="A2" s="3" t="s">
        <v>128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5" hidden="false" customHeight="false" outlineLevel="0" collapsed="false">
      <c r="A4" s="4" t="s">
        <v>129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4" t="s">
        <v>35</v>
      </c>
      <c r="M4" s="4" t="s">
        <v>36</v>
      </c>
      <c r="N4" s="4" t="s">
        <v>37</v>
      </c>
      <c r="O4" s="4" t="s">
        <v>38</v>
      </c>
      <c r="P4" s="4" t="s">
        <v>39</v>
      </c>
      <c r="Q4" s="4" t="s">
        <v>40</v>
      </c>
      <c r="R4" s="4" t="s">
        <v>41</v>
      </c>
      <c r="S4" s="4" t="s">
        <v>42</v>
      </c>
      <c r="T4" s="4" t="s">
        <v>43</v>
      </c>
      <c r="U4" s="4" t="s">
        <v>44</v>
      </c>
      <c r="V4" s="4" t="s">
        <v>45</v>
      </c>
      <c r="W4" s="4" t="s">
        <v>46</v>
      </c>
      <c r="X4" s="4" t="s">
        <v>47</v>
      </c>
      <c r="Y4" s="4" t="s">
        <v>48</v>
      </c>
    </row>
    <row r="5" customFormat="false" ht="15" hidden="false" customHeight="false" outlineLevel="0" collapsed="false">
      <c r="A5" s="5" t="s">
        <v>130</v>
      </c>
      <c r="B5" s="22" t="n">
        <f aca="false">Annahmen!$C$48</f>
        <v>2</v>
      </c>
      <c r="C5" s="22" t="n">
        <f aca="false">Annahmen!$C$48</f>
        <v>2</v>
      </c>
      <c r="D5" s="22" t="n">
        <f aca="false">Annahmen!$C$49</f>
        <v>3</v>
      </c>
      <c r="E5" s="22" t="n">
        <f aca="false">Annahmen!$C$49</f>
        <v>3</v>
      </c>
      <c r="F5" s="22" t="n">
        <f aca="false">Annahmen!$C$49</f>
        <v>3</v>
      </c>
      <c r="G5" s="22" t="n">
        <f aca="false">Annahmen!$C$49</f>
        <v>3</v>
      </c>
      <c r="H5" s="22" t="n">
        <f aca="false">Annahmen!$C$49</f>
        <v>3</v>
      </c>
      <c r="I5" s="22" t="n">
        <f aca="false">Annahmen!$C$49</f>
        <v>3</v>
      </c>
      <c r="J5" s="22" t="n">
        <f aca="false">Annahmen!$C$49</f>
        <v>3</v>
      </c>
      <c r="K5" s="22" t="n">
        <f aca="false">Annahmen!$C$49</f>
        <v>3</v>
      </c>
      <c r="L5" s="22" t="n">
        <f aca="false">Annahmen!$C$49</f>
        <v>3</v>
      </c>
      <c r="M5" s="22" t="n">
        <f aca="false">Annahmen!$C$49</f>
        <v>3</v>
      </c>
      <c r="N5" s="22" t="n">
        <f aca="false">Annahmen!$C$49</f>
        <v>3</v>
      </c>
      <c r="O5" s="22" t="n">
        <f aca="false">Annahmen!$C$49</f>
        <v>3</v>
      </c>
      <c r="P5" s="22" t="n">
        <f aca="false">Annahmen!$C$49</f>
        <v>3</v>
      </c>
      <c r="Q5" s="22" t="n">
        <f aca="false">Annahmen!$C$49</f>
        <v>3</v>
      </c>
      <c r="R5" s="22" t="n">
        <f aca="false">Annahmen!$C$49</f>
        <v>3</v>
      </c>
      <c r="S5" s="22" t="n">
        <f aca="false">Annahmen!$C$49</f>
        <v>3</v>
      </c>
      <c r="T5" s="22" t="n">
        <f aca="false">Annahmen!$C$49</f>
        <v>3</v>
      </c>
      <c r="U5" s="22" t="n">
        <f aca="false">Annahmen!$C$49</f>
        <v>3</v>
      </c>
      <c r="V5" s="22" t="n">
        <f aca="false">Annahmen!$C$49</f>
        <v>3</v>
      </c>
      <c r="W5" s="22" t="n">
        <f aca="false">Annahmen!$C$49</f>
        <v>3</v>
      </c>
      <c r="X5" s="22" t="n">
        <f aca="false">Annahmen!$C$49</f>
        <v>3</v>
      </c>
      <c r="Y5" s="22" t="n">
        <f aca="false">Annahmen!$C$49</f>
        <v>3</v>
      </c>
    </row>
    <row r="6" customFormat="false" ht="15" hidden="false" customHeight="false" outlineLevel="0" collapsed="false">
      <c r="A6" s="5" t="s">
        <v>131</v>
      </c>
      <c r="B6" s="23" t="n">
        <f aca="false">IF(1&gt;=Annahmen!$B$16,1,0)</f>
        <v>0</v>
      </c>
      <c r="C6" s="23" t="n">
        <f aca="false">IF(2&gt;=Annahmen!$B$16,1,0)</f>
        <v>0</v>
      </c>
      <c r="D6" s="23" t="n">
        <f aca="false">IF(3&gt;=Annahmen!$B$16,1,0)</f>
        <v>0</v>
      </c>
      <c r="E6" s="23" t="n">
        <f aca="false">IF(4&gt;=Annahmen!$B$16,1,0)</f>
        <v>0</v>
      </c>
      <c r="F6" s="23" t="n">
        <f aca="false">IF(5&gt;=Annahmen!$B$16,1,0)</f>
        <v>0</v>
      </c>
      <c r="G6" s="23" t="n">
        <f aca="false">IF(6&gt;=Annahmen!$B$16,1,0)</f>
        <v>0</v>
      </c>
      <c r="H6" s="23" t="n">
        <f aca="false">IF(7&gt;=Annahmen!$B$16,1,0)</f>
        <v>0</v>
      </c>
      <c r="I6" s="23" t="n">
        <f aca="false">IF(8&gt;=Annahmen!$B$16,1,0)</f>
        <v>1</v>
      </c>
      <c r="J6" s="23" t="n">
        <f aca="false">IF(9&gt;=Annahmen!$B$16,1,0)</f>
        <v>1</v>
      </c>
      <c r="K6" s="23" t="n">
        <f aca="false">IF(10&gt;=Annahmen!$B$16,1,0)</f>
        <v>1</v>
      </c>
      <c r="L6" s="23" t="n">
        <f aca="false">IF(11&gt;=Annahmen!$B$16,1,0)</f>
        <v>1</v>
      </c>
      <c r="M6" s="23" t="n">
        <f aca="false">IF(12&gt;=Annahmen!$B$16,1,0)</f>
        <v>1</v>
      </c>
      <c r="N6" s="23" t="n">
        <f aca="false">IF(13&gt;=Annahmen!$B$16,1,0)</f>
        <v>1</v>
      </c>
      <c r="O6" s="23" t="n">
        <f aca="false">IF(14&gt;=Annahmen!$B$16,1,0)</f>
        <v>1</v>
      </c>
      <c r="P6" s="23" t="n">
        <f aca="false">IF(15&gt;=Annahmen!$B$16,1,0)</f>
        <v>1</v>
      </c>
      <c r="Q6" s="23" t="n">
        <f aca="false">IF(16&gt;=Annahmen!$B$16,1,0)</f>
        <v>1</v>
      </c>
      <c r="R6" s="23" t="n">
        <f aca="false">IF(17&gt;=Annahmen!$B$16,1,0)</f>
        <v>1</v>
      </c>
      <c r="S6" s="23" t="n">
        <f aca="false">IF(18&gt;=Annahmen!$B$16,1,0)</f>
        <v>1</v>
      </c>
      <c r="T6" s="23" t="n">
        <f aca="false">IF(19&gt;=Annahmen!$B$16,1,0)</f>
        <v>1</v>
      </c>
      <c r="U6" s="23" t="n">
        <f aca="false">IF(20&gt;=Annahmen!$B$16,1,0)</f>
        <v>1</v>
      </c>
      <c r="V6" s="23" t="n">
        <f aca="false">IF(21&gt;=Annahmen!$B$16,1,0)</f>
        <v>1</v>
      </c>
      <c r="W6" s="23" t="n">
        <f aca="false">IF(22&gt;=Annahmen!$B$16,1,0)</f>
        <v>1</v>
      </c>
      <c r="X6" s="23" t="n">
        <f aca="false">IF(23&gt;=Annahmen!$B$16,1,0)</f>
        <v>1</v>
      </c>
      <c r="Y6" s="23" t="n">
        <f aca="false">IF(24&gt;=Annahmen!$B$16,1,0)</f>
        <v>1</v>
      </c>
    </row>
    <row r="7" customFormat="false" ht="15" hidden="false" customHeight="false" outlineLevel="0" collapsed="false">
      <c r="A7" s="5" t="s">
        <v>132</v>
      </c>
      <c r="B7" s="23" t="n">
        <f aca="false">IF(0&gt;=Annahmen!$B$39-1,1,0)</f>
        <v>0</v>
      </c>
      <c r="C7" s="23" t="n">
        <f aca="false">IF(B12&gt;=Annahmen!$B$39-1,1,0)</f>
        <v>0</v>
      </c>
      <c r="D7" s="23" t="n">
        <f aca="false">IF(C12&gt;=Annahmen!$B$39-1,1,0)</f>
        <v>1</v>
      </c>
      <c r="E7" s="23" t="n">
        <f aca="false">IF(D12&gt;=Annahmen!$B$39-1,1,0)</f>
        <v>1</v>
      </c>
      <c r="F7" s="23" t="n">
        <f aca="false">IF(E12&gt;=Annahmen!$B$39-1,1,0)</f>
        <v>1</v>
      </c>
      <c r="G7" s="23" t="n">
        <f aca="false">IF(F12&gt;=Annahmen!$B$39-1,1,0)</f>
        <v>1</v>
      </c>
      <c r="H7" s="23" t="n">
        <f aca="false">IF(G12&gt;=Annahmen!$B$39-1,1,0)</f>
        <v>1</v>
      </c>
      <c r="I7" s="23" t="n">
        <f aca="false">IF(H12&gt;=Annahmen!$B$39-1,1,0)</f>
        <v>1</v>
      </c>
      <c r="J7" s="23" t="n">
        <f aca="false">IF(I12&gt;=Annahmen!$B$39-1,1,0)</f>
        <v>1</v>
      </c>
      <c r="K7" s="23" t="n">
        <f aca="false">IF(J12&gt;=Annahmen!$B$39-1,1,0)</f>
        <v>1</v>
      </c>
      <c r="L7" s="23" t="n">
        <f aca="false">IF(K12&gt;=Annahmen!$B$39-1,1,0)</f>
        <v>1</v>
      </c>
      <c r="M7" s="23" t="n">
        <f aca="false">IF(L12&gt;=Annahmen!$B$39-1,1,0)</f>
        <v>1</v>
      </c>
      <c r="N7" s="23" t="n">
        <f aca="false">IF(M12&gt;=Annahmen!$B$39-1,1,0)</f>
        <v>1</v>
      </c>
      <c r="O7" s="23" t="n">
        <f aca="false">IF(N12&gt;=Annahmen!$B$39-1,1,0)</f>
        <v>1</v>
      </c>
      <c r="P7" s="23" t="n">
        <f aca="false">IF(O12&gt;=Annahmen!$B$39-1,1,0)</f>
        <v>1</v>
      </c>
      <c r="Q7" s="23" t="n">
        <f aca="false">IF(P12&gt;=Annahmen!$B$39-1,1,0)</f>
        <v>1</v>
      </c>
      <c r="R7" s="23" t="n">
        <f aca="false">IF(Q12&gt;=Annahmen!$B$39-1,1,0)</f>
        <v>1</v>
      </c>
      <c r="S7" s="23" t="n">
        <f aca="false">IF(R12&gt;=Annahmen!$B$39-1,1,0)</f>
        <v>1</v>
      </c>
      <c r="T7" s="23" t="n">
        <f aca="false">IF(S12&gt;=Annahmen!$B$39-1,1,0)</f>
        <v>1</v>
      </c>
      <c r="U7" s="23" t="n">
        <f aca="false">IF(T12&gt;=Annahmen!$B$39-1,1,0)</f>
        <v>1</v>
      </c>
      <c r="V7" s="23" t="n">
        <f aca="false">IF(U12&gt;=Annahmen!$B$39-1,1,0)</f>
        <v>1</v>
      </c>
      <c r="W7" s="23" t="n">
        <f aca="false">IF(V12&gt;=Annahmen!$B$39-1,1,0)</f>
        <v>1</v>
      </c>
      <c r="X7" s="23" t="n">
        <f aca="false">IF(W12&gt;=Annahmen!$B$39-1,1,0)</f>
        <v>1</v>
      </c>
      <c r="Y7" s="23" t="n">
        <f aca="false">IF(X12&gt;=Annahmen!$B$39-1,1,0)</f>
        <v>1</v>
      </c>
    </row>
    <row r="8" customFormat="false" ht="15" hidden="false" customHeight="false" outlineLevel="0" collapsed="false">
      <c r="A8" s="5" t="s">
        <v>133</v>
      </c>
      <c r="B8" s="22" t="n">
        <f aca="false">Annahmen!$B$12/(1-Annahmen!$B$15*(1-B6))*((Annahmen!$B$21+B7*(Annahmen!$B$30-Annahmen!$B$21))+(Annahmen!$B$25+B7*(Annahmen!$B$34-Annahmen!$B$25))+(Annahmen!$B$29+B7*(Annahmen!$B$38-Annahmen!$B$29)))+Annahmen!$B$13/(1-Annahmen!$B$15*(1-B6))*((Annahmen!$B$22+B7*(Annahmen!$B$31-Annahmen!$B$22))+(Annahmen!$B$26+B7*(Annahmen!$B$35-Annahmen!$B$26))+(Annahmen!$B$29+B7*(Annahmen!$B$38-Annahmen!$B$29)))+Annahmen!$B$14/(1-Annahmen!$B$15*(1-B6))*((Annahmen!$B$23+B7*(Annahmen!$B$32-Annahmen!$B$23))+(Annahmen!$B$27+B7*(Annahmen!$B$36-Annahmen!$B$27))+(Annahmen!$B$29+B7*(Annahmen!$B$38-Annahmen!$B$29)))+Annahmen!$B$15*B6*((Annahmen!$B$24+B7*(Annahmen!$B$33-Annahmen!$B$24))+(Annahmen!$B$28+B7*(Annahmen!$B$37-Annahmen!$B$28))+(Annahmen!$B$29+B7*(Annahmen!$B$38-Annahmen!$B$29)))</f>
        <v>37.0833333333333</v>
      </c>
      <c r="C8" s="22" t="n">
        <f aca="false">Annahmen!$B$12/(1-Annahmen!$B$15*(1-C6))*((Annahmen!$B$21+C7*(Annahmen!$B$30-Annahmen!$B$21))+(Annahmen!$B$25+C7*(Annahmen!$B$34-Annahmen!$B$25))+(Annahmen!$B$29+C7*(Annahmen!$B$38-Annahmen!$B$29)))+Annahmen!$B$13/(1-Annahmen!$B$15*(1-C6))*((Annahmen!$B$22+C7*(Annahmen!$B$31-Annahmen!$B$22))+(Annahmen!$B$26+C7*(Annahmen!$B$35-Annahmen!$B$26))+(Annahmen!$B$29+C7*(Annahmen!$B$38-Annahmen!$B$29)))+Annahmen!$B$14/(1-Annahmen!$B$15*(1-C6))*((Annahmen!$B$23+C7*(Annahmen!$B$32-Annahmen!$B$23))+(Annahmen!$B$27+C7*(Annahmen!$B$36-Annahmen!$B$27))+(Annahmen!$B$29+C7*(Annahmen!$B$38-Annahmen!$B$29)))+Annahmen!$B$15*C6*((Annahmen!$B$24+C7*(Annahmen!$B$33-Annahmen!$B$24))+(Annahmen!$B$28+C7*(Annahmen!$B$37-Annahmen!$B$28))+(Annahmen!$B$29+C7*(Annahmen!$B$38-Annahmen!$B$29)))</f>
        <v>37.0833333333333</v>
      </c>
      <c r="D8" s="22" t="n">
        <f aca="false">Annahmen!$B$12/(1-Annahmen!$B$15*(1-D6))*((Annahmen!$B$21+D7*(Annahmen!$B$30-Annahmen!$B$21))+(Annahmen!$B$25+D7*(Annahmen!$B$34-Annahmen!$B$25))+(Annahmen!$B$29+D7*(Annahmen!$B$38-Annahmen!$B$29)))+Annahmen!$B$13/(1-Annahmen!$B$15*(1-D6))*((Annahmen!$B$22+D7*(Annahmen!$B$31-Annahmen!$B$22))+(Annahmen!$B$26+D7*(Annahmen!$B$35-Annahmen!$B$26))+(Annahmen!$B$29+D7*(Annahmen!$B$38-Annahmen!$B$29)))+Annahmen!$B$14/(1-Annahmen!$B$15*(1-D6))*((Annahmen!$B$23+D7*(Annahmen!$B$32-Annahmen!$B$23))+(Annahmen!$B$27+D7*(Annahmen!$B$36-Annahmen!$B$27))+(Annahmen!$B$29+D7*(Annahmen!$B$38-Annahmen!$B$29)))+Annahmen!$B$15*D6*((Annahmen!$B$24+D7*(Annahmen!$B$33-Annahmen!$B$24))+(Annahmen!$B$28+D7*(Annahmen!$B$37-Annahmen!$B$28))+(Annahmen!$B$29+D7*(Annahmen!$B$38-Annahmen!$B$29)))</f>
        <v>19.0333333333333</v>
      </c>
      <c r="E8" s="22" t="n">
        <f aca="false">Annahmen!$B$12/(1-Annahmen!$B$15*(1-E6))*((Annahmen!$B$21+E7*(Annahmen!$B$30-Annahmen!$B$21))+(Annahmen!$B$25+E7*(Annahmen!$B$34-Annahmen!$B$25))+(Annahmen!$B$29+E7*(Annahmen!$B$38-Annahmen!$B$29)))+Annahmen!$B$13/(1-Annahmen!$B$15*(1-E6))*((Annahmen!$B$22+E7*(Annahmen!$B$31-Annahmen!$B$22))+(Annahmen!$B$26+E7*(Annahmen!$B$35-Annahmen!$B$26))+(Annahmen!$B$29+E7*(Annahmen!$B$38-Annahmen!$B$29)))+Annahmen!$B$14/(1-Annahmen!$B$15*(1-E6))*((Annahmen!$B$23+E7*(Annahmen!$B$32-Annahmen!$B$23))+(Annahmen!$B$27+E7*(Annahmen!$B$36-Annahmen!$B$27))+(Annahmen!$B$29+E7*(Annahmen!$B$38-Annahmen!$B$29)))+Annahmen!$B$15*E6*((Annahmen!$B$24+E7*(Annahmen!$B$33-Annahmen!$B$24))+(Annahmen!$B$28+E7*(Annahmen!$B$37-Annahmen!$B$28))+(Annahmen!$B$29+E7*(Annahmen!$B$38-Annahmen!$B$29)))</f>
        <v>19.0333333333333</v>
      </c>
      <c r="F8" s="22" t="n">
        <f aca="false">Annahmen!$B$12/(1-Annahmen!$B$15*(1-F6))*((Annahmen!$B$21+F7*(Annahmen!$B$30-Annahmen!$B$21))+(Annahmen!$B$25+F7*(Annahmen!$B$34-Annahmen!$B$25))+(Annahmen!$B$29+F7*(Annahmen!$B$38-Annahmen!$B$29)))+Annahmen!$B$13/(1-Annahmen!$B$15*(1-F6))*((Annahmen!$B$22+F7*(Annahmen!$B$31-Annahmen!$B$22))+(Annahmen!$B$26+F7*(Annahmen!$B$35-Annahmen!$B$26))+(Annahmen!$B$29+F7*(Annahmen!$B$38-Annahmen!$B$29)))+Annahmen!$B$14/(1-Annahmen!$B$15*(1-F6))*((Annahmen!$B$23+F7*(Annahmen!$B$32-Annahmen!$B$23))+(Annahmen!$B$27+F7*(Annahmen!$B$36-Annahmen!$B$27))+(Annahmen!$B$29+F7*(Annahmen!$B$38-Annahmen!$B$29)))+Annahmen!$B$15*F6*((Annahmen!$B$24+F7*(Annahmen!$B$33-Annahmen!$B$24))+(Annahmen!$B$28+F7*(Annahmen!$B$37-Annahmen!$B$28))+(Annahmen!$B$29+F7*(Annahmen!$B$38-Annahmen!$B$29)))</f>
        <v>19.0333333333333</v>
      </c>
      <c r="G8" s="22" t="n">
        <f aca="false">Annahmen!$B$12/(1-Annahmen!$B$15*(1-G6))*((Annahmen!$B$21+G7*(Annahmen!$B$30-Annahmen!$B$21))+(Annahmen!$B$25+G7*(Annahmen!$B$34-Annahmen!$B$25))+(Annahmen!$B$29+G7*(Annahmen!$B$38-Annahmen!$B$29)))+Annahmen!$B$13/(1-Annahmen!$B$15*(1-G6))*((Annahmen!$B$22+G7*(Annahmen!$B$31-Annahmen!$B$22))+(Annahmen!$B$26+G7*(Annahmen!$B$35-Annahmen!$B$26))+(Annahmen!$B$29+G7*(Annahmen!$B$38-Annahmen!$B$29)))+Annahmen!$B$14/(1-Annahmen!$B$15*(1-G6))*((Annahmen!$B$23+G7*(Annahmen!$B$32-Annahmen!$B$23))+(Annahmen!$B$27+G7*(Annahmen!$B$36-Annahmen!$B$27))+(Annahmen!$B$29+G7*(Annahmen!$B$38-Annahmen!$B$29)))+Annahmen!$B$15*G6*((Annahmen!$B$24+G7*(Annahmen!$B$33-Annahmen!$B$24))+(Annahmen!$B$28+G7*(Annahmen!$B$37-Annahmen!$B$28))+(Annahmen!$B$29+G7*(Annahmen!$B$38-Annahmen!$B$29)))</f>
        <v>19.0333333333333</v>
      </c>
      <c r="H8" s="22" t="n">
        <f aca="false">Annahmen!$B$12/(1-Annahmen!$B$15*(1-H6))*((Annahmen!$B$21+H7*(Annahmen!$B$30-Annahmen!$B$21))+(Annahmen!$B$25+H7*(Annahmen!$B$34-Annahmen!$B$25))+(Annahmen!$B$29+H7*(Annahmen!$B$38-Annahmen!$B$29)))+Annahmen!$B$13/(1-Annahmen!$B$15*(1-H6))*((Annahmen!$B$22+H7*(Annahmen!$B$31-Annahmen!$B$22))+(Annahmen!$B$26+H7*(Annahmen!$B$35-Annahmen!$B$26))+(Annahmen!$B$29+H7*(Annahmen!$B$38-Annahmen!$B$29)))+Annahmen!$B$14/(1-Annahmen!$B$15*(1-H6))*((Annahmen!$B$23+H7*(Annahmen!$B$32-Annahmen!$B$23))+(Annahmen!$B$27+H7*(Annahmen!$B$36-Annahmen!$B$27))+(Annahmen!$B$29+H7*(Annahmen!$B$38-Annahmen!$B$29)))+Annahmen!$B$15*H6*((Annahmen!$B$24+H7*(Annahmen!$B$33-Annahmen!$B$24))+(Annahmen!$B$28+H7*(Annahmen!$B$37-Annahmen!$B$28))+(Annahmen!$B$29+H7*(Annahmen!$B$38-Annahmen!$B$29)))</f>
        <v>19.0333333333333</v>
      </c>
      <c r="I8" s="22" t="n">
        <f aca="false">Annahmen!$B$12/(1-Annahmen!$B$15*(1-I6))*((Annahmen!$B$21+I7*(Annahmen!$B$30-Annahmen!$B$21))+(Annahmen!$B$25+I7*(Annahmen!$B$34-Annahmen!$B$25))+(Annahmen!$B$29+I7*(Annahmen!$B$38-Annahmen!$B$29)))+Annahmen!$B$13/(1-Annahmen!$B$15*(1-I6))*((Annahmen!$B$22+I7*(Annahmen!$B$31-Annahmen!$B$22))+(Annahmen!$B$26+I7*(Annahmen!$B$35-Annahmen!$B$26))+(Annahmen!$B$29+I7*(Annahmen!$B$38-Annahmen!$B$29)))+Annahmen!$B$14/(1-Annahmen!$B$15*(1-I6))*((Annahmen!$B$23+I7*(Annahmen!$B$32-Annahmen!$B$23))+(Annahmen!$B$27+I7*(Annahmen!$B$36-Annahmen!$B$27))+(Annahmen!$B$29+I7*(Annahmen!$B$38-Annahmen!$B$29)))+Annahmen!$B$15*I6*((Annahmen!$B$24+I7*(Annahmen!$B$33-Annahmen!$B$24))+(Annahmen!$B$28+I7*(Annahmen!$B$37-Annahmen!$B$28))+(Annahmen!$B$29+I7*(Annahmen!$B$38-Annahmen!$B$29)))</f>
        <v>18.275</v>
      </c>
      <c r="J8" s="22" t="n">
        <f aca="false">Annahmen!$B$12/(1-Annahmen!$B$15*(1-J6))*((Annahmen!$B$21+J7*(Annahmen!$B$30-Annahmen!$B$21))+(Annahmen!$B$25+J7*(Annahmen!$B$34-Annahmen!$B$25))+(Annahmen!$B$29+J7*(Annahmen!$B$38-Annahmen!$B$29)))+Annahmen!$B$13/(1-Annahmen!$B$15*(1-J6))*((Annahmen!$B$22+J7*(Annahmen!$B$31-Annahmen!$B$22))+(Annahmen!$B$26+J7*(Annahmen!$B$35-Annahmen!$B$26))+(Annahmen!$B$29+J7*(Annahmen!$B$38-Annahmen!$B$29)))+Annahmen!$B$14/(1-Annahmen!$B$15*(1-J6))*((Annahmen!$B$23+J7*(Annahmen!$B$32-Annahmen!$B$23))+(Annahmen!$B$27+J7*(Annahmen!$B$36-Annahmen!$B$27))+(Annahmen!$B$29+J7*(Annahmen!$B$38-Annahmen!$B$29)))+Annahmen!$B$15*J6*((Annahmen!$B$24+J7*(Annahmen!$B$33-Annahmen!$B$24))+(Annahmen!$B$28+J7*(Annahmen!$B$37-Annahmen!$B$28))+(Annahmen!$B$29+J7*(Annahmen!$B$38-Annahmen!$B$29)))</f>
        <v>18.275</v>
      </c>
      <c r="K8" s="22" t="n">
        <f aca="false">Annahmen!$B$12/(1-Annahmen!$B$15*(1-K6))*((Annahmen!$B$21+K7*(Annahmen!$B$30-Annahmen!$B$21))+(Annahmen!$B$25+K7*(Annahmen!$B$34-Annahmen!$B$25))+(Annahmen!$B$29+K7*(Annahmen!$B$38-Annahmen!$B$29)))+Annahmen!$B$13/(1-Annahmen!$B$15*(1-K6))*((Annahmen!$B$22+K7*(Annahmen!$B$31-Annahmen!$B$22))+(Annahmen!$B$26+K7*(Annahmen!$B$35-Annahmen!$B$26))+(Annahmen!$B$29+K7*(Annahmen!$B$38-Annahmen!$B$29)))+Annahmen!$B$14/(1-Annahmen!$B$15*(1-K6))*((Annahmen!$B$23+K7*(Annahmen!$B$32-Annahmen!$B$23))+(Annahmen!$B$27+K7*(Annahmen!$B$36-Annahmen!$B$27))+(Annahmen!$B$29+K7*(Annahmen!$B$38-Annahmen!$B$29)))+Annahmen!$B$15*K6*((Annahmen!$B$24+K7*(Annahmen!$B$33-Annahmen!$B$24))+(Annahmen!$B$28+K7*(Annahmen!$B$37-Annahmen!$B$28))+(Annahmen!$B$29+K7*(Annahmen!$B$38-Annahmen!$B$29)))</f>
        <v>18.275</v>
      </c>
      <c r="L8" s="22" t="n">
        <f aca="false">Annahmen!$B$12/(1-Annahmen!$B$15*(1-L6))*((Annahmen!$B$21+L7*(Annahmen!$B$30-Annahmen!$B$21))+(Annahmen!$B$25+L7*(Annahmen!$B$34-Annahmen!$B$25))+(Annahmen!$B$29+L7*(Annahmen!$B$38-Annahmen!$B$29)))+Annahmen!$B$13/(1-Annahmen!$B$15*(1-L6))*((Annahmen!$B$22+L7*(Annahmen!$B$31-Annahmen!$B$22))+(Annahmen!$B$26+L7*(Annahmen!$B$35-Annahmen!$B$26))+(Annahmen!$B$29+L7*(Annahmen!$B$38-Annahmen!$B$29)))+Annahmen!$B$14/(1-Annahmen!$B$15*(1-L6))*((Annahmen!$B$23+L7*(Annahmen!$B$32-Annahmen!$B$23))+(Annahmen!$B$27+L7*(Annahmen!$B$36-Annahmen!$B$27))+(Annahmen!$B$29+L7*(Annahmen!$B$38-Annahmen!$B$29)))+Annahmen!$B$15*L6*((Annahmen!$B$24+L7*(Annahmen!$B$33-Annahmen!$B$24))+(Annahmen!$B$28+L7*(Annahmen!$B$37-Annahmen!$B$28))+(Annahmen!$B$29+L7*(Annahmen!$B$38-Annahmen!$B$29)))</f>
        <v>18.275</v>
      </c>
      <c r="M8" s="22" t="n">
        <f aca="false">Annahmen!$B$12/(1-Annahmen!$B$15*(1-M6))*((Annahmen!$B$21+M7*(Annahmen!$B$30-Annahmen!$B$21))+(Annahmen!$B$25+M7*(Annahmen!$B$34-Annahmen!$B$25))+(Annahmen!$B$29+M7*(Annahmen!$B$38-Annahmen!$B$29)))+Annahmen!$B$13/(1-Annahmen!$B$15*(1-M6))*((Annahmen!$B$22+M7*(Annahmen!$B$31-Annahmen!$B$22))+(Annahmen!$B$26+M7*(Annahmen!$B$35-Annahmen!$B$26))+(Annahmen!$B$29+M7*(Annahmen!$B$38-Annahmen!$B$29)))+Annahmen!$B$14/(1-Annahmen!$B$15*(1-M6))*((Annahmen!$B$23+M7*(Annahmen!$B$32-Annahmen!$B$23))+(Annahmen!$B$27+M7*(Annahmen!$B$36-Annahmen!$B$27))+(Annahmen!$B$29+M7*(Annahmen!$B$38-Annahmen!$B$29)))+Annahmen!$B$15*M6*((Annahmen!$B$24+M7*(Annahmen!$B$33-Annahmen!$B$24))+(Annahmen!$B$28+M7*(Annahmen!$B$37-Annahmen!$B$28))+(Annahmen!$B$29+M7*(Annahmen!$B$38-Annahmen!$B$29)))</f>
        <v>18.275</v>
      </c>
      <c r="N8" s="22" t="n">
        <f aca="false">Annahmen!$B$12/(1-Annahmen!$B$15*(1-N6))*((Annahmen!$B$21+N7*(Annahmen!$B$30-Annahmen!$B$21))+(Annahmen!$B$25+N7*(Annahmen!$B$34-Annahmen!$B$25))+(Annahmen!$B$29+N7*(Annahmen!$B$38-Annahmen!$B$29)))+Annahmen!$B$13/(1-Annahmen!$B$15*(1-N6))*((Annahmen!$B$22+N7*(Annahmen!$B$31-Annahmen!$B$22))+(Annahmen!$B$26+N7*(Annahmen!$B$35-Annahmen!$B$26))+(Annahmen!$B$29+N7*(Annahmen!$B$38-Annahmen!$B$29)))+Annahmen!$B$14/(1-Annahmen!$B$15*(1-N6))*((Annahmen!$B$23+N7*(Annahmen!$B$32-Annahmen!$B$23))+(Annahmen!$B$27+N7*(Annahmen!$B$36-Annahmen!$B$27))+(Annahmen!$B$29+N7*(Annahmen!$B$38-Annahmen!$B$29)))+Annahmen!$B$15*N6*((Annahmen!$B$24+N7*(Annahmen!$B$33-Annahmen!$B$24))+(Annahmen!$B$28+N7*(Annahmen!$B$37-Annahmen!$B$28))+(Annahmen!$B$29+N7*(Annahmen!$B$38-Annahmen!$B$29)))</f>
        <v>18.275</v>
      </c>
      <c r="O8" s="22" t="n">
        <f aca="false">Annahmen!$B$12/(1-Annahmen!$B$15*(1-O6))*((Annahmen!$B$21+O7*(Annahmen!$B$30-Annahmen!$B$21))+(Annahmen!$B$25+O7*(Annahmen!$B$34-Annahmen!$B$25))+(Annahmen!$B$29+O7*(Annahmen!$B$38-Annahmen!$B$29)))+Annahmen!$B$13/(1-Annahmen!$B$15*(1-O6))*((Annahmen!$B$22+O7*(Annahmen!$B$31-Annahmen!$B$22))+(Annahmen!$B$26+O7*(Annahmen!$B$35-Annahmen!$B$26))+(Annahmen!$B$29+O7*(Annahmen!$B$38-Annahmen!$B$29)))+Annahmen!$B$14/(1-Annahmen!$B$15*(1-O6))*((Annahmen!$B$23+O7*(Annahmen!$B$32-Annahmen!$B$23))+(Annahmen!$B$27+O7*(Annahmen!$B$36-Annahmen!$B$27))+(Annahmen!$B$29+O7*(Annahmen!$B$38-Annahmen!$B$29)))+Annahmen!$B$15*O6*((Annahmen!$B$24+O7*(Annahmen!$B$33-Annahmen!$B$24))+(Annahmen!$B$28+O7*(Annahmen!$B$37-Annahmen!$B$28))+(Annahmen!$B$29+O7*(Annahmen!$B$38-Annahmen!$B$29)))</f>
        <v>18.275</v>
      </c>
      <c r="P8" s="22" t="n">
        <f aca="false">Annahmen!$B$12/(1-Annahmen!$B$15*(1-P6))*((Annahmen!$B$21+P7*(Annahmen!$B$30-Annahmen!$B$21))+(Annahmen!$B$25+P7*(Annahmen!$B$34-Annahmen!$B$25))+(Annahmen!$B$29+P7*(Annahmen!$B$38-Annahmen!$B$29)))+Annahmen!$B$13/(1-Annahmen!$B$15*(1-P6))*((Annahmen!$B$22+P7*(Annahmen!$B$31-Annahmen!$B$22))+(Annahmen!$B$26+P7*(Annahmen!$B$35-Annahmen!$B$26))+(Annahmen!$B$29+P7*(Annahmen!$B$38-Annahmen!$B$29)))+Annahmen!$B$14/(1-Annahmen!$B$15*(1-P6))*((Annahmen!$B$23+P7*(Annahmen!$B$32-Annahmen!$B$23))+(Annahmen!$B$27+P7*(Annahmen!$B$36-Annahmen!$B$27))+(Annahmen!$B$29+P7*(Annahmen!$B$38-Annahmen!$B$29)))+Annahmen!$B$15*P6*((Annahmen!$B$24+P7*(Annahmen!$B$33-Annahmen!$B$24))+(Annahmen!$B$28+P7*(Annahmen!$B$37-Annahmen!$B$28))+(Annahmen!$B$29+P7*(Annahmen!$B$38-Annahmen!$B$29)))</f>
        <v>18.275</v>
      </c>
      <c r="Q8" s="22" t="n">
        <f aca="false">Annahmen!$B$12/(1-Annahmen!$B$15*(1-Q6))*((Annahmen!$B$21+Q7*(Annahmen!$B$30-Annahmen!$B$21))+(Annahmen!$B$25+Q7*(Annahmen!$B$34-Annahmen!$B$25))+(Annahmen!$B$29+Q7*(Annahmen!$B$38-Annahmen!$B$29)))+Annahmen!$B$13/(1-Annahmen!$B$15*(1-Q6))*((Annahmen!$B$22+Q7*(Annahmen!$B$31-Annahmen!$B$22))+(Annahmen!$B$26+Q7*(Annahmen!$B$35-Annahmen!$B$26))+(Annahmen!$B$29+Q7*(Annahmen!$B$38-Annahmen!$B$29)))+Annahmen!$B$14/(1-Annahmen!$B$15*(1-Q6))*((Annahmen!$B$23+Q7*(Annahmen!$B$32-Annahmen!$B$23))+(Annahmen!$B$27+Q7*(Annahmen!$B$36-Annahmen!$B$27))+(Annahmen!$B$29+Q7*(Annahmen!$B$38-Annahmen!$B$29)))+Annahmen!$B$15*Q6*((Annahmen!$B$24+Q7*(Annahmen!$B$33-Annahmen!$B$24))+(Annahmen!$B$28+Q7*(Annahmen!$B$37-Annahmen!$B$28))+(Annahmen!$B$29+Q7*(Annahmen!$B$38-Annahmen!$B$29)))</f>
        <v>18.275</v>
      </c>
      <c r="R8" s="22" t="n">
        <f aca="false">Annahmen!$B$12/(1-Annahmen!$B$15*(1-R6))*((Annahmen!$B$21+R7*(Annahmen!$B$30-Annahmen!$B$21))+(Annahmen!$B$25+R7*(Annahmen!$B$34-Annahmen!$B$25))+(Annahmen!$B$29+R7*(Annahmen!$B$38-Annahmen!$B$29)))+Annahmen!$B$13/(1-Annahmen!$B$15*(1-R6))*((Annahmen!$B$22+R7*(Annahmen!$B$31-Annahmen!$B$22))+(Annahmen!$B$26+R7*(Annahmen!$B$35-Annahmen!$B$26))+(Annahmen!$B$29+R7*(Annahmen!$B$38-Annahmen!$B$29)))+Annahmen!$B$14/(1-Annahmen!$B$15*(1-R6))*((Annahmen!$B$23+R7*(Annahmen!$B$32-Annahmen!$B$23))+(Annahmen!$B$27+R7*(Annahmen!$B$36-Annahmen!$B$27))+(Annahmen!$B$29+R7*(Annahmen!$B$38-Annahmen!$B$29)))+Annahmen!$B$15*R6*((Annahmen!$B$24+R7*(Annahmen!$B$33-Annahmen!$B$24))+(Annahmen!$B$28+R7*(Annahmen!$B$37-Annahmen!$B$28))+(Annahmen!$B$29+R7*(Annahmen!$B$38-Annahmen!$B$29)))</f>
        <v>18.275</v>
      </c>
      <c r="S8" s="22" t="n">
        <f aca="false">Annahmen!$B$12/(1-Annahmen!$B$15*(1-S6))*((Annahmen!$B$21+S7*(Annahmen!$B$30-Annahmen!$B$21))+(Annahmen!$B$25+S7*(Annahmen!$B$34-Annahmen!$B$25))+(Annahmen!$B$29+S7*(Annahmen!$B$38-Annahmen!$B$29)))+Annahmen!$B$13/(1-Annahmen!$B$15*(1-S6))*((Annahmen!$B$22+S7*(Annahmen!$B$31-Annahmen!$B$22))+(Annahmen!$B$26+S7*(Annahmen!$B$35-Annahmen!$B$26))+(Annahmen!$B$29+S7*(Annahmen!$B$38-Annahmen!$B$29)))+Annahmen!$B$14/(1-Annahmen!$B$15*(1-S6))*((Annahmen!$B$23+S7*(Annahmen!$B$32-Annahmen!$B$23))+(Annahmen!$B$27+S7*(Annahmen!$B$36-Annahmen!$B$27))+(Annahmen!$B$29+S7*(Annahmen!$B$38-Annahmen!$B$29)))+Annahmen!$B$15*S6*((Annahmen!$B$24+S7*(Annahmen!$B$33-Annahmen!$B$24))+(Annahmen!$B$28+S7*(Annahmen!$B$37-Annahmen!$B$28))+(Annahmen!$B$29+S7*(Annahmen!$B$38-Annahmen!$B$29)))</f>
        <v>18.275</v>
      </c>
      <c r="T8" s="22" t="n">
        <f aca="false">Annahmen!$B$12/(1-Annahmen!$B$15*(1-T6))*((Annahmen!$B$21+T7*(Annahmen!$B$30-Annahmen!$B$21))+(Annahmen!$B$25+T7*(Annahmen!$B$34-Annahmen!$B$25))+(Annahmen!$B$29+T7*(Annahmen!$B$38-Annahmen!$B$29)))+Annahmen!$B$13/(1-Annahmen!$B$15*(1-T6))*((Annahmen!$B$22+T7*(Annahmen!$B$31-Annahmen!$B$22))+(Annahmen!$B$26+T7*(Annahmen!$B$35-Annahmen!$B$26))+(Annahmen!$B$29+T7*(Annahmen!$B$38-Annahmen!$B$29)))+Annahmen!$B$14/(1-Annahmen!$B$15*(1-T6))*((Annahmen!$B$23+T7*(Annahmen!$B$32-Annahmen!$B$23))+(Annahmen!$B$27+T7*(Annahmen!$B$36-Annahmen!$B$27))+(Annahmen!$B$29+T7*(Annahmen!$B$38-Annahmen!$B$29)))+Annahmen!$B$15*T6*((Annahmen!$B$24+T7*(Annahmen!$B$33-Annahmen!$B$24))+(Annahmen!$B$28+T7*(Annahmen!$B$37-Annahmen!$B$28))+(Annahmen!$B$29+T7*(Annahmen!$B$38-Annahmen!$B$29)))</f>
        <v>18.275</v>
      </c>
      <c r="U8" s="22" t="n">
        <f aca="false">Annahmen!$B$12/(1-Annahmen!$B$15*(1-U6))*((Annahmen!$B$21+U7*(Annahmen!$B$30-Annahmen!$B$21))+(Annahmen!$B$25+U7*(Annahmen!$B$34-Annahmen!$B$25))+(Annahmen!$B$29+U7*(Annahmen!$B$38-Annahmen!$B$29)))+Annahmen!$B$13/(1-Annahmen!$B$15*(1-U6))*((Annahmen!$B$22+U7*(Annahmen!$B$31-Annahmen!$B$22))+(Annahmen!$B$26+U7*(Annahmen!$B$35-Annahmen!$B$26))+(Annahmen!$B$29+U7*(Annahmen!$B$38-Annahmen!$B$29)))+Annahmen!$B$14/(1-Annahmen!$B$15*(1-U6))*((Annahmen!$B$23+U7*(Annahmen!$B$32-Annahmen!$B$23))+(Annahmen!$B$27+U7*(Annahmen!$B$36-Annahmen!$B$27))+(Annahmen!$B$29+U7*(Annahmen!$B$38-Annahmen!$B$29)))+Annahmen!$B$15*U6*((Annahmen!$B$24+U7*(Annahmen!$B$33-Annahmen!$B$24))+(Annahmen!$B$28+U7*(Annahmen!$B$37-Annahmen!$B$28))+(Annahmen!$B$29+U7*(Annahmen!$B$38-Annahmen!$B$29)))</f>
        <v>18.275</v>
      </c>
      <c r="V8" s="22" t="n">
        <f aca="false">Annahmen!$B$12/(1-Annahmen!$B$15*(1-V6))*((Annahmen!$B$21+V7*(Annahmen!$B$30-Annahmen!$B$21))+(Annahmen!$B$25+V7*(Annahmen!$B$34-Annahmen!$B$25))+(Annahmen!$B$29+V7*(Annahmen!$B$38-Annahmen!$B$29)))+Annahmen!$B$13/(1-Annahmen!$B$15*(1-V6))*((Annahmen!$B$22+V7*(Annahmen!$B$31-Annahmen!$B$22))+(Annahmen!$B$26+V7*(Annahmen!$B$35-Annahmen!$B$26))+(Annahmen!$B$29+V7*(Annahmen!$B$38-Annahmen!$B$29)))+Annahmen!$B$14/(1-Annahmen!$B$15*(1-V6))*((Annahmen!$B$23+V7*(Annahmen!$B$32-Annahmen!$B$23))+(Annahmen!$B$27+V7*(Annahmen!$B$36-Annahmen!$B$27))+(Annahmen!$B$29+V7*(Annahmen!$B$38-Annahmen!$B$29)))+Annahmen!$B$15*V6*((Annahmen!$B$24+V7*(Annahmen!$B$33-Annahmen!$B$24))+(Annahmen!$B$28+V7*(Annahmen!$B$37-Annahmen!$B$28))+(Annahmen!$B$29+V7*(Annahmen!$B$38-Annahmen!$B$29)))</f>
        <v>18.275</v>
      </c>
      <c r="W8" s="22" t="n">
        <f aca="false">Annahmen!$B$12/(1-Annahmen!$B$15*(1-W6))*((Annahmen!$B$21+W7*(Annahmen!$B$30-Annahmen!$B$21))+(Annahmen!$B$25+W7*(Annahmen!$B$34-Annahmen!$B$25))+(Annahmen!$B$29+W7*(Annahmen!$B$38-Annahmen!$B$29)))+Annahmen!$B$13/(1-Annahmen!$B$15*(1-W6))*((Annahmen!$B$22+W7*(Annahmen!$B$31-Annahmen!$B$22))+(Annahmen!$B$26+W7*(Annahmen!$B$35-Annahmen!$B$26))+(Annahmen!$B$29+W7*(Annahmen!$B$38-Annahmen!$B$29)))+Annahmen!$B$14/(1-Annahmen!$B$15*(1-W6))*((Annahmen!$B$23+W7*(Annahmen!$B$32-Annahmen!$B$23))+(Annahmen!$B$27+W7*(Annahmen!$B$36-Annahmen!$B$27))+(Annahmen!$B$29+W7*(Annahmen!$B$38-Annahmen!$B$29)))+Annahmen!$B$15*W6*((Annahmen!$B$24+W7*(Annahmen!$B$33-Annahmen!$B$24))+(Annahmen!$B$28+W7*(Annahmen!$B$37-Annahmen!$B$28))+(Annahmen!$B$29+W7*(Annahmen!$B$38-Annahmen!$B$29)))</f>
        <v>18.275</v>
      </c>
      <c r="X8" s="22" t="n">
        <f aca="false">Annahmen!$B$12/(1-Annahmen!$B$15*(1-X6))*((Annahmen!$B$21+X7*(Annahmen!$B$30-Annahmen!$B$21))+(Annahmen!$B$25+X7*(Annahmen!$B$34-Annahmen!$B$25))+(Annahmen!$B$29+X7*(Annahmen!$B$38-Annahmen!$B$29)))+Annahmen!$B$13/(1-Annahmen!$B$15*(1-X6))*((Annahmen!$B$22+X7*(Annahmen!$B$31-Annahmen!$B$22))+(Annahmen!$B$26+X7*(Annahmen!$B$35-Annahmen!$B$26))+(Annahmen!$B$29+X7*(Annahmen!$B$38-Annahmen!$B$29)))+Annahmen!$B$14/(1-Annahmen!$B$15*(1-X6))*((Annahmen!$B$23+X7*(Annahmen!$B$32-Annahmen!$B$23))+(Annahmen!$B$27+X7*(Annahmen!$B$36-Annahmen!$B$27))+(Annahmen!$B$29+X7*(Annahmen!$B$38-Annahmen!$B$29)))+Annahmen!$B$15*X6*((Annahmen!$B$24+X7*(Annahmen!$B$33-Annahmen!$B$24))+(Annahmen!$B$28+X7*(Annahmen!$B$37-Annahmen!$B$28))+(Annahmen!$B$29+X7*(Annahmen!$B$38-Annahmen!$B$29)))</f>
        <v>18.275</v>
      </c>
      <c r="Y8" s="22" t="n">
        <f aca="false">Annahmen!$B$12/(1-Annahmen!$B$15*(1-Y6))*((Annahmen!$B$21+Y7*(Annahmen!$B$30-Annahmen!$B$21))+(Annahmen!$B$25+Y7*(Annahmen!$B$34-Annahmen!$B$25))+(Annahmen!$B$29+Y7*(Annahmen!$B$38-Annahmen!$B$29)))+Annahmen!$B$13/(1-Annahmen!$B$15*(1-Y6))*((Annahmen!$B$22+Y7*(Annahmen!$B$31-Annahmen!$B$22))+(Annahmen!$B$26+Y7*(Annahmen!$B$35-Annahmen!$B$26))+(Annahmen!$B$29+Y7*(Annahmen!$B$38-Annahmen!$B$29)))+Annahmen!$B$14/(1-Annahmen!$B$15*(1-Y6))*((Annahmen!$B$23+Y7*(Annahmen!$B$32-Annahmen!$B$23))+(Annahmen!$B$27+Y7*(Annahmen!$B$36-Annahmen!$B$27))+(Annahmen!$B$29+Y7*(Annahmen!$B$38-Annahmen!$B$29)))+Annahmen!$B$15*Y6*((Annahmen!$B$24+Y7*(Annahmen!$B$33-Annahmen!$B$24))+(Annahmen!$B$28+Y7*(Annahmen!$B$37-Annahmen!$B$28))+(Annahmen!$B$29+Y7*(Annahmen!$B$38-Annahmen!$B$29)))</f>
        <v>18.275</v>
      </c>
    </row>
    <row r="9" customFormat="false" ht="15" hidden="false" customHeight="false" outlineLevel="0" collapsed="false">
      <c r="A9" s="5" t="s">
        <v>134</v>
      </c>
      <c r="B9" s="22" t="n">
        <f aca="false">0*(Annahmen!$B$25+B7*(Annahmen!$B$34-Annahmen!$B$25))+0*(Annahmen!$B$26+B7*(Annahmen!$B$35-Annahmen!$B$26))+0*(Annahmen!$B$27+B7*(Annahmen!$B$36-Annahmen!$B$27))+0*(Annahmen!$B$28+B7*(Annahmen!$B$37-Annahmen!$B$28))</f>
        <v>0</v>
      </c>
      <c r="C9" s="22" t="n">
        <f aca="false">B14*(Annahmen!$B$25+C7*(Annahmen!$B$34-Annahmen!$B$25))+B15*(Annahmen!$B$26+C7*(Annahmen!$B$35-Annahmen!$B$26))+B16*(Annahmen!$B$27+C7*(Annahmen!$B$36-Annahmen!$B$27))+B17*(Annahmen!$B$28+C7*(Annahmen!$B$37-Annahmen!$B$28))</f>
        <v>12.8333333333333</v>
      </c>
      <c r="D9" s="22" t="n">
        <f aca="false">C14*(Annahmen!$B$25+D7*(Annahmen!$B$34-Annahmen!$B$25))+C15*(Annahmen!$B$26+D7*(Annahmen!$B$35-Annahmen!$B$26))+C16*(Annahmen!$B$27+D7*(Annahmen!$B$36-Annahmen!$B$27))+C17*(Annahmen!$B$28+D7*(Annahmen!$B$37-Annahmen!$B$28))</f>
        <v>13.3126666666667</v>
      </c>
      <c r="E9" s="22" t="n">
        <f aca="false">D14*(Annahmen!$B$25+E7*(Annahmen!$B$34-Annahmen!$B$25))+D15*(Annahmen!$B$26+E7*(Annahmen!$B$35-Annahmen!$B$26))+D16*(Annahmen!$B$27+E7*(Annahmen!$B$36-Annahmen!$B$27))+D17*(Annahmen!$B$28+E7*(Annahmen!$B$37-Annahmen!$B$28))</f>
        <v>23.10834</v>
      </c>
      <c r="F9" s="22" t="n">
        <f aca="false">E14*(Annahmen!$B$25+F7*(Annahmen!$B$34-Annahmen!$B$25))+E15*(Annahmen!$B$26+F7*(Annahmen!$B$35-Annahmen!$B$26))+E16*(Annahmen!$B$27+F7*(Annahmen!$B$36-Annahmen!$B$27))+E17*(Annahmen!$B$28+F7*(Annahmen!$B$37-Annahmen!$B$28))</f>
        <v>32.6802686</v>
      </c>
      <c r="G9" s="22" t="n">
        <f aca="false">F14*(Annahmen!$B$25+G7*(Annahmen!$B$34-Annahmen!$B$25))+F15*(Annahmen!$B$26+G7*(Annahmen!$B$35-Annahmen!$B$26))+F16*(Annahmen!$B$27+G7*(Annahmen!$B$36-Annahmen!$B$27))+F17*(Annahmen!$B$28+G7*(Annahmen!$B$37-Annahmen!$B$28))</f>
        <v>42.033782034</v>
      </c>
      <c r="H9" s="22" t="n">
        <f aca="false">G14*(Annahmen!$B$25+H7*(Annahmen!$B$34-Annahmen!$B$25))+G15*(Annahmen!$B$26+H7*(Annahmen!$B$35-Annahmen!$B$26))+G16*(Annahmen!$B$27+H7*(Annahmen!$B$36-Annahmen!$B$27))+G17*(Annahmen!$B$28+H7*(Annahmen!$B$37-Annahmen!$B$28))</f>
        <v>51.17407744046</v>
      </c>
      <c r="I9" s="22" t="n">
        <f aca="false">H14*(Annahmen!$B$25+I7*(Annahmen!$B$34-Annahmen!$B$25))+H15*(Annahmen!$B$26+I7*(Annahmen!$B$35-Annahmen!$B$26))+H16*(Annahmen!$B$27+I7*(Annahmen!$B$36-Annahmen!$B$27))+H17*(Annahmen!$B$28+I7*(Annahmen!$B$37-Annahmen!$B$28))</f>
        <v>60.1062229546434</v>
      </c>
      <c r="J9" s="22" t="n">
        <f aca="false">I14*(Annahmen!$B$25+J7*(Annahmen!$B$34-Annahmen!$B$25))+I15*(Annahmen!$B$26+J7*(Annahmen!$B$35-Annahmen!$B$26))+I16*(Annahmen!$B$27+J7*(Annahmen!$B$36-Annahmen!$B$27))+I17*(Annahmen!$B$28+J7*(Annahmen!$B$37-Annahmen!$B$28))</f>
        <v>69.3101610424475</v>
      </c>
      <c r="K9" s="22" t="n">
        <f aca="false">J14*(Annahmen!$B$25+K7*(Annahmen!$B$34-Annahmen!$B$25))+J15*(Annahmen!$B$26+K7*(Annahmen!$B$35-Annahmen!$B$26))+J16*(Annahmen!$B$27+K7*(Annahmen!$B$36-Annahmen!$B$27))+J17*(Annahmen!$B$28+K7*(Annahmen!$B$37-Annahmen!$B$28))</f>
        <v>78.2234617449248</v>
      </c>
      <c r="L9" s="22" t="n">
        <f aca="false">K14*(Annahmen!$B$25+L7*(Annahmen!$B$34-Annahmen!$B$25))+K15*(Annahmen!$B$26+L7*(Annahmen!$B$35-Annahmen!$B$26))+K16*(Annahmen!$B$27+L7*(Annahmen!$B$36-Annahmen!$B$27))+K17*(Annahmen!$B$28+L7*(Annahmen!$B$37-Annahmen!$B$28))</f>
        <v>86.8569483359605</v>
      </c>
      <c r="M9" s="22" t="n">
        <f aca="false">L14*(Annahmen!$B$25+M7*(Annahmen!$B$34-Annahmen!$B$25))+L15*(Annahmen!$B$26+M7*(Annahmen!$B$35-Annahmen!$B$26))+L16*(Annahmen!$B$27+M7*(Annahmen!$B$36-Annahmen!$B$27))+L17*(Annahmen!$B$28+M7*(Annahmen!$B$37-Annahmen!$B$28))</f>
        <v>95.2209871705023</v>
      </c>
      <c r="N9" s="22" t="n">
        <f aca="false">M14*(Annahmen!$B$25+N7*(Annahmen!$B$34-Annahmen!$B$25))+M15*(Annahmen!$B$26+N7*(Annahmen!$B$35-Annahmen!$B$26))+M16*(Annahmen!$B$27+N7*(Annahmen!$B$36-Annahmen!$B$27))+M17*(Annahmen!$B$28+N7*(Annahmen!$B$37-Annahmen!$B$28))</f>
        <v>103.325508537919</v>
      </c>
      <c r="O9" s="22" t="n">
        <f aca="false">N14*(Annahmen!$B$25+O7*(Annahmen!$B$34-Annahmen!$B$25))+N15*(Annahmen!$B$26+O7*(Annahmen!$B$35-Annahmen!$B$26))+N16*(Annahmen!$B$27+O7*(Annahmen!$B$36-Annahmen!$B$27))+N17*(Annahmen!$B$28+O7*(Annahmen!$B$37-Annahmen!$B$28))</f>
        <v>111.180026521831</v>
      </c>
      <c r="P9" s="22" t="n">
        <f aca="false">O14*(Annahmen!$B$25+P7*(Annahmen!$B$34-Annahmen!$B$25))+O15*(Annahmen!$B$26+P7*(Annahmen!$B$35-Annahmen!$B$26))+O16*(Annahmen!$B$27+P7*(Annahmen!$B$36-Annahmen!$B$27))+O17*(Annahmen!$B$28+P7*(Annahmen!$B$37-Annahmen!$B$28))</f>
        <v>118.79365791482</v>
      </c>
      <c r="Q9" s="22" t="n">
        <f aca="false">P14*(Annahmen!$B$25+Q7*(Annahmen!$B$34-Annahmen!$B$25))+P15*(Annahmen!$B$26+Q7*(Annahmen!$B$35-Annahmen!$B$26))+P16*(Annahmen!$B$27+Q7*(Annahmen!$B$36-Annahmen!$B$27))+P17*(Annahmen!$B$28+Q7*(Annahmen!$B$37-Annahmen!$B$28))</f>
        <v>125.477150130105</v>
      </c>
      <c r="R9" s="22" t="n">
        <f aca="false">Q14*(Annahmen!$B$25+R7*(Annahmen!$B$34-Annahmen!$B$25))+Q15*(Annahmen!$B$26+R7*(Annahmen!$B$35-Annahmen!$B$26))+Q16*(Annahmen!$B$27+R7*(Annahmen!$B$36-Annahmen!$B$27))+Q17*(Annahmen!$B$28+R7*(Annahmen!$B$37-Annahmen!$B$28))</f>
        <v>130.669049266388</v>
      </c>
      <c r="S9" s="22" t="n">
        <f aca="false">R14*(Annahmen!$B$25+S7*(Annahmen!$B$34-Annahmen!$B$25))+R15*(Annahmen!$B$26+S7*(Annahmen!$B$35-Annahmen!$B$26))+R16*(Annahmen!$B$27+S7*(Annahmen!$B$36-Annahmen!$B$27))+R17*(Annahmen!$B$28+S7*(Annahmen!$B$37-Annahmen!$B$28))</f>
        <v>134.703731361753</v>
      </c>
      <c r="T9" s="22" t="n">
        <f aca="false">S14*(Annahmen!$B$25+T7*(Annahmen!$B$34-Annahmen!$B$25))+S15*(Annahmen!$B$26+T7*(Annahmen!$B$35-Annahmen!$B$26))+S16*(Annahmen!$B$27+T7*(Annahmen!$B$36-Annahmen!$B$27))+S17*(Annahmen!$B$28+T7*(Annahmen!$B$37-Annahmen!$B$28))</f>
        <v>137.840564634723</v>
      </c>
      <c r="U9" s="22" t="n">
        <f aca="false">T14*(Annahmen!$B$25+U7*(Annahmen!$B$34-Annahmen!$B$25))+T15*(Annahmen!$B$26+U7*(Annahmen!$B$35-Annahmen!$B$26))+T16*(Annahmen!$B$27+U7*(Annahmen!$B$36-Annahmen!$B$27))+T17*(Annahmen!$B$28+U7*(Annahmen!$B$37-Annahmen!$B$28))</f>
        <v>140.280737119998</v>
      </c>
      <c r="V9" s="22" t="n">
        <f aca="false">U14*(Annahmen!$B$25+V7*(Annahmen!$B$34-Annahmen!$B$25))+U15*(Annahmen!$B$26+V7*(Annahmen!$B$35-Annahmen!$B$26))+U16*(Annahmen!$B$27+V7*(Annahmen!$B$36-Annahmen!$B$27))+U17*(Annahmen!$B$28+V7*(Annahmen!$B$37-Annahmen!$B$28))</f>
        <v>142.180309041788</v>
      </c>
      <c r="W9" s="22" t="n">
        <f aca="false">V14*(Annahmen!$B$25+W7*(Annahmen!$B$34-Annahmen!$B$25))+V15*(Annahmen!$B$26+W7*(Annahmen!$B$35-Annahmen!$B$26))+V16*(Annahmen!$B$27+W7*(Annahmen!$B$36-Annahmen!$B$27))+V17*(Annahmen!$B$28+W7*(Annahmen!$B$37-Annahmen!$B$28))</f>
        <v>143.660336903398</v>
      </c>
      <c r="X9" s="22" t="n">
        <f aca="false">W14*(Annahmen!$B$25+X7*(Annahmen!$B$34-Annahmen!$B$25))+W15*(Annahmen!$B$26+X7*(Annahmen!$B$35-Annahmen!$B$26))+W16*(Annahmen!$B$27+X7*(Annahmen!$B$36-Annahmen!$B$27))+W17*(Annahmen!$B$28+X7*(Annahmen!$B$37-Annahmen!$B$28))</f>
        <v>144.814726252307</v>
      </c>
      <c r="Y9" s="22" t="n">
        <f aca="false">X14*(Annahmen!$B$25+Y7*(Annahmen!$B$34-Annahmen!$B$25))+X15*(Annahmen!$B$26+Y7*(Annahmen!$B$35-Annahmen!$B$26))+X16*(Annahmen!$B$27+Y7*(Annahmen!$B$36-Annahmen!$B$27))+X17*(Annahmen!$B$28+Y7*(Annahmen!$B$37-Annahmen!$B$28))</f>
        <v>145.716322691335</v>
      </c>
    </row>
    <row r="10" customFormat="false" ht="15" hidden="false" customHeight="false" outlineLevel="0" collapsed="false">
      <c r="A10" s="5" t="s">
        <v>135</v>
      </c>
      <c r="B10" s="22" t="n">
        <f aca="false">MAX(0,(Annahmen!$B$41-B9)/B8)</f>
        <v>4.58426966292135</v>
      </c>
      <c r="C10" s="22" t="n">
        <f aca="false">MAX(0,(Annahmen!$B$41-C9)/C8)</f>
        <v>4.23820224719101</v>
      </c>
      <c r="D10" s="22" t="n">
        <f aca="false">MAX(0,(Annahmen!$B$41-D9)/D8)</f>
        <v>8.2322591943958</v>
      </c>
      <c r="E10" s="22" t="n">
        <f aca="false">MAX(0,(Annahmen!$B$41-E9)/E8)</f>
        <v>7.7176003502627</v>
      </c>
      <c r="F10" s="22" t="n">
        <f aca="false">MAX(0,(Annahmen!$B$41-F9)/F8)</f>
        <v>7.2146969211909</v>
      </c>
      <c r="G10" s="22" t="n">
        <f aca="false">MAX(0,(Annahmen!$B$41-G9)/G8)</f>
        <v>6.72326889488617</v>
      </c>
      <c r="H10" s="22" t="n">
        <f aca="false">MAX(0,(Annahmen!$B$41-H9)/H8)</f>
        <v>6.24304321678844</v>
      </c>
      <c r="I10" s="22" t="n">
        <f aca="false">MAX(0,(Annahmen!$B$41-I9)/I8)</f>
        <v>6.01333937320693</v>
      </c>
      <c r="J10" s="22" t="n">
        <f aca="false">MAX(0,(Annahmen!$B$41-J9)/J8)</f>
        <v>5.50970391012599</v>
      </c>
      <c r="K10" s="22" t="n">
        <f aca="false">MAX(0,(Annahmen!$B$41-K9)/K8)</f>
        <v>5.02197199754174</v>
      </c>
      <c r="L10" s="22" t="n">
        <f aca="false">MAX(0,(Annahmen!$B$41-L9)/L8)</f>
        <v>4.54955139064512</v>
      </c>
      <c r="M10" s="22" t="n">
        <f aca="false">MAX(0,(Annahmen!$B$41-M9)/M8)</f>
        <v>4.09187484703134</v>
      </c>
      <c r="N10" s="22" t="n">
        <f aca="false">MAX(0,(Annahmen!$B$41-N9)/N8)</f>
        <v>3.64839898561318</v>
      </c>
      <c r="O10" s="22" t="n">
        <f aca="false">MAX(0,(Annahmen!$B$41-O9)/O8)</f>
        <v>3.21860319989984</v>
      </c>
      <c r="P10" s="22" t="n">
        <f aca="false">MAX(0,(Annahmen!$B$41-P9)/P8)</f>
        <v>2.80198862299209</v>
      </c>
      <c r="Q10" s="22" t="n">
        <f aca="false">MAX(0,(Annahmen!$B$41-Q9)/Q8)</f>
        <v>2.43627085471381</v>
      </c>
      <c r="R10" s="22" t="n">
        <f aca="false">MAX(0,(Annahmen!$B$41-R9)/R8)</f>
        <v>2.15217240676399</v>
      </c>
      <c r="S10" s="22" t="n">
        <f aca="false">MAX(0,(Annahmen!$B$41-S9)/S8)</f>
        <v>1.93139636871393</v>
      </c>
      <c r="T10" s="22" t="n">
        <f aca="false">MAX(0,(Annahmen!$B$41-T9)/T8)</f>
        <v>1.75975022518615</v>
      </c>
      <c r="U10" s="22" t="n">
        <f aca="false">MAX(0,(Annahmen!$B$41-U9)/U8)</f>
        <v>1.62622505499326</v>
      </c>
      <c r="V10" s="22" t="n">
        <f aca="false">MAX(0,(Annahmen!$B$41-V9)/V8)</f>
        <v>1.52228131098289</v>
      </c>
      <c r="W10" s="22" t="n">
        <f aca="false">MAX(0,(Annahmen!$B$41-W9)/W8)</f>
        <v>1.4412948342874</v>
      </c>
      <c r="X10" s="22" t="n">
        <f aca="false">MAX(0,(Annahmen!$B$41-X9)/X8)</f>
        <v>1.3781271544565</v>
      </c>
      <c r="Y10" s="22" t="n">
        <f aca="false">MAX(0,(Annahmen!$B$41-Y9)/Y8)</f>
        <v>1.32879219199261</v>
      </c>
    </row>
    <row r="11" customFormat="false" ht="15" hidden="false" customHeight="false" outlineLevel="0" collapsed="false">
      <c r="A11" s="7" t="s">
        <v>136</v>
      </c>
      <c r="B11" s="21" t="n">
        <f aca="false">MIN(B5,B10)</f>
        <v>2</v>
      </c>
      <c r="C11" s="21" t="n">
        <f aca="false">MIN(C5,C10)</f>
        <v>2</v>
      </c>
      <c r="D11" s="21" t="n">
        <f aca="false">MIN(D5,D10)</f>
        <v>3</v>
      </c>
      <c r="E11" s="21" t="n">
        <f aca="false">MIN(E5,E10)</f>
        <v>3</v>
      </c>
      <c r="F11" s="21" t="n">
        <f aca="false">MIN(F5,F10)</f>
        <v>3</v>
      </c>
      <c r="G11" s="21" t="n">
        <f aca="false">MIN(G5,G10)</f>
        <v>3</v>
      </c>
      <c r="H11" s="21" t="n">
        <f aca="false">MIN(H5,H10)</f>
        <v>3</v>
      </c>
      <c r="I11" s="21" t="n">
        <f aca="false">MIN(I5,I10)</f>
        <v>3</v>
      </c>
      <c r="J11" s="21" t="n">
        <f aca="false">MIN(J5,J10)</f>
        <v>3</v>
      </c>
      <c r="K11" s="21" t="n">
        <f aca="false">MIN(K5,K10)</f>
        <v>3</v>
      </c>
      <c r="L11" s="21" t="n">
        <f aca="false">MIN(L5,L10)</f>
        <v>3</v>
      </c>
      <c r="M11" s="21" t="n">
        <f aca="false">MIN(M5,M10)</f>
        <v>3</v>
      </c>
      <c r="N11" s="21" t="n">
        <f aca="false">MIN(N5,N10)</f>
        <v>3</v>
      </c>
      <c r="O11" s="21" t="n">
        <f aca="false">MIN(O5,O10)</f>
        <v>3</v>
      </c>
      <c r="P11" s="21" t="n">
        <f aca="false">MIN(P5,P10)</f>
        <v>2.80198862299209</v>
      </c>
      <c r="Q11" s="21" t="n">
        <f aca="false">MIN(Q5,Q10)</f>
        <v>2.43627085471381</v>
      </c>
      <c r="R11" s="21" t="n">
        <f aca="false">MIN(R5,R10)</f>
        <v>2.15217240676399</v>
      </c>
      <c r="S11" s="21" t="n">
        <f aca="false">MIN(S5,S10)</f>
        <v>1.93139636871393</v>
      </c>
      <c r="T11" s="21" t="n">
        <f aca="false">MIN(T5,T10)</f>
        <v>1.75975022518615</v>
      </c>
      <c r="U11" s="21" t="n">
        <f aca="false">MIN(U5,U10)</f>
        <v>1.62622505499326</v>
      </c>
      <c r="V11" s="21" t="n">
        <f aca="false">MIN(V5,V10)</f>
        <v>1.52228131098289</v>
      </c>
      <c r="W11" s="21" t="n">
        <f aca="false">MIN(W5,W10)</f>
        <v>1.4412948342874</v>
      </c>
      <c r="X11" s="21" t="n">
        <f aca="false">MIN(X5,X10)</f>
        <v>1.3781271544565</v>
      </c>
      <c r="Y11" s="21" t="n">
        <f aca="false">MIN(Y5,Y10)</f>
        <v>1.32879219199261</v>
      </c>
    </row>
    <row r="12" customFormat="false" ht="15" hidden="false" customHeight="false" outlineLevel="0" collapsed="false">
      <c r="A12" s="5" t="s">
        <v>137</v>
      </c>
      <c r="B12" s="22" t="n">
        <f aca="false">0+B11</f>
        <v>2</v>
      </c>
      <c r="C12" s="22" t="n">
        <f aca="false">B12+C11</f>
        <v>4</v>
      </c>
      <c r="D12" s="22" t="n">
        <f aca="false">C12+D11</f>
        <v>7</v>
      </c>
      <c r="E12" s="22" t="n">
        <f aca="false">D12+E11</f>
        <v>10</v>
      </c>
      <c r="F12" s="22" t="n">
        <f aca="false">E12+F11</f>
        <v>13</v>
      </c>
      <c r="G12" s="22" t="n">
        <f aca="false">F12+G11</f>
        <v>16</v>
      </c>
      <c r="H12" s="22" t="n">
        <f aca="false">G12+H11</f>
        <v>19</v>
      </c>
      <c r="I12" s="22" t="n">
        <f aca="false">H12+I11</f>
        <v>22</v>
      </c>
      <c r="J12" s="22" t="n">
        <f aca="false">I12+J11</f>
        <v>25</v>
      </c>
      <c r="K12" s="22" t="n">
        <f aca="false">J12+K11</f>
        <v>28</v>
      </c>
      <c r="L12" s="22" t="n">
        <f aca="false">K12+L11</f>
        <v>31</v>
      </c>
      <c r="M12" s="22" t="n">
        <f aca="false">L12+M11</f>
        <v>34</v>
      </c>
      <c r="N12" s="22" t="n">
        <f aca="false">M12+N11</f>
        <v>37</v>
      </c>
      <c r="O12" s="22" t="n">
        <f aca="false">N12+O11</f>
        <v>40</v>
      </c>
      <c r="P12" s="22" t="n">
        <f aca="false">O12+P11</f>
        <v>42.8019886229921</v>
      </c>
      <c r="Q12" s="22" t="n">
        <f aca="false">P12+Q11</f>
        <v>45.2382594777059</v>
      </c>
      <c r="R12" s="22" t="n">
        <f aca="false">Q12+R11</f>
        <v>47.3904318844699</v>
      </c>
      <c r="S12" s="22" t="n">
        <f aca="false">R12+S11</f>
        <v>49.3218282531838</v>
      </c>
      <c r="T12" s="22" t="n">
        <f aca="false">S12+T11</f>
        <v>51.08157847837</v>
      </c>
      <c r="U12" s="22" t="n">
        <f aca="false">T12+U11</f>
        <v>52.7078035333632</v>
      </c>
      <c r="V12" s="22" t="n">
        <f aca="false">U12+V11</f>
        <v>54.2300848443461</v>
      </c>
      <c r="W12" s="22" t="n">
        <f aca="false">V12+W11</f>
        <v>55.6713796786335</v>
      </c>
      <c r="X12" s="22" t="n">
        <f aca="false">W12+X11</f>
        <v>57.04950683309</v>
      </c>
      <c r="Y12" s="22" t="n">
        <f aca="false">X12+Y11</f>
        <v>58.3782990250826</v>
      </c>
    </row>
    <row r="13" customFormat="false" ht="15" hidden="false" customHeight="fals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customFormat="false" ht="15" hidden="false" customHeight="false" outlineLevel="0" collapsed="false">
      <c r="A14" s="5" t="s">
        <v>138</v>
      </c>
      <c r="B14" s="22" t="n">
        <f aca="false">0*(1-Annahmen!$B$17)+B11*Annahmen!$B$12/(1-Annahmen!$B$15*(1-B6))</f>
        <v>0.666666666666667</v>
      </c>
      <c r="C14" s="22" t="n">
        <f aca="false">B14*(1-Annahmen!$B$17)+C11*Annahmen!$B$12/(1-Annahmen!$B$15*(1-C6))</f>
        <v>1.32666666666667</v>
      </c>
      <c r="D14" s="22" t="n">
        <f aca="false">C14*(1-Annahmen!$B$17)+D11*Annahmen!$B$12/(1-Annahmen!$B$15*(1-D6))</f>
        <v>2.3134</v>
      </c>
      <c r="E14" s="22" t="n">
        <f aca="false">D14*(1-Annahmen!$B$17)+E11*Annahmen!$B$12/(1-Annahmen!$B$15*(1-E6))</f>
        <v>3.290266</v>
      </c>
      <c r="F14" s="22" t="n">
        <f aca="false">E14*(1-Annahmen!$B$17)+F11*Annahmen!$B$12/(1-Annahmen!$B$15*(1-F6))</f>
        <v>4.25736334</v>
      </c>
      <c r="G14" s="22" t="n">
        <f aca="false">F14*(1-Annahmen!$B$17)+G11*Annahmen!$B$12/(1-Annahmen!$B$15*(1-G6))</f>
        <v>5.2147897066</v>
      </c>
      <c r="H14" s="22" t="n">
        <f aca="false">G14*(1-Annahmen!$B$17)+H11*Annahmen!$B$12/(1-Annahmen!$B$15*(1-H6))</f>
        <v>6.162641809534</v>
      </c>
      <c r="I14" s="22" t="n">
        <f aca="false">H14*(1-Annahmen!$B$17)+I11*Annahmen!$B$12/(1-Annahmen!$B$15*(1-I6))</f>
        <v>6.85101539143866</v>
      </c>
      <c r="J14" s="22" t="n">
        <f aca="false">I14*(1-Annahmen!$B$17)+J11*Annahmen!$B$12/(1-Annahmen!$B$15*(1-J6))</f>
        <v>7.53250523752427</v>
      </c>
      <c r="K14" s="22" t="n">
        <f aca="false">J14*(1-Annahmen!$B$17)+K11*Annahmen!$B$12/(1-Annahmen!$B$15*(1-K6))</f>
        <v>8.20718018514903</v>
      </c>
      <c r="L14" s="22" t="n">
        <f aca="false">K14*(1-Annahmen!$B$17)+L11*Annahmen!$B$12/(1-Annahmen!$B$15*(1-L6))</f>
        <v>8.87510838329754</v>
      </c>
      <c r="M14" s="22" t="n">
        <f aca="false">L14*(1-Annahmen!$B$17)+M11*Annahmen!$B$12/(1-Annahmen!$B$15*(1-M6))</f>
        <v>9.53635729946456</v>
      </c>
      <c r="N14" s="22" t="n">
        <f aca="false">M14*(1-Annahmen!$B$17)+N11*Annahmen!$B$12/(1-Annahmen!$B$15*(1-N6))</f>
        <v>10.1909937264699</v>
      </c>
      <c r="O14" s="22" t="n">
        <f aca="false">N14*(1-Annahmen!$B$17)+O11*Annahmen!$B$12/(1-Annahmen!$B$15*(1-O6))</f>
        <v>10.8390837892052</v>
      </c>
      <c r="P14" s="22" t="n">
        <f aca="false">O14*(1-Annahmen!$B$17)+P11*Annahmen!$B$12/(1-Annahmen!$B$15*(1-P6))</f>
        <v>11.4311901070612</v>
      </c>
      <c r="Q14" s="22" t="n">
        <f aca="false">P14*(1-Annahmen!$B$17)+Q11*Annahmen!$B$12/(1-Annahmen!$B$15*(1-Q6))</f>
        <v>11.925945919669</v>
      </c>
      <c r="R14" s="22" t="n">
        <f aca="false">Q14*(1-Annahmen!$B$17)+R11*Annahmen!$B$12/(1-Annahmen!$B$15*(1-R6))</f>
        <v>12.3447295621633</v>
      </c>
      <c r="S14" s="22" t="n">
        <f aca="false">R14*(1-Annahmen!$B$17)+S11*Annahmen!$B$12/(1-Annahmen!$B$15*(1-S6))</f>
        <v>12.7041313587202</v>
      </c>
      <c r="T14" s="22" t="n">
        <f aca="false">S14*(1-Annahmen!$B$17)+T11*Annahmen!$B$12/(1-Annahmen!$B$15*(1-T6))</f>
        <v>13.0170276014295</v>
      </c>
      <c r="U14" s="22" t="n">
        <f aca="false">T14*(1-Annahmen!$B$17)+U11*Annahmen!$B$12/(1-Annahmen!$B$15*(1-U6))</f>
        <v>13.2934135891635</v>
      </c>
      <c r="V14" s="22" t="n">
        <f aca="false">U14*(1-Annahmen!$B$17)+V11*Annahmen!$B$12/(1-Annahmen!$B$15*(1-V6))</f>
        <v>13.5410497810176</v>
      </c>
      <c r="W14" s="22" t="n">
        <f aca="false">V14*(1-Annahmen!$B$17)+W11*Annahmen!$B$12/(1-Annahmen!$B$15*(1-W6))</f>
        <v>13.7659629917793</v>
      </c>
      <c r="X14" s="22" t="n">
        <f aca="false">W14*(1-Annahmen!$B$17)+X11*Annahmen!$B$12/(1-Annahmen!$B$15*(1-X6))</f>
        <v>13.9728351504756</v>
      </c>
      <c r="Y14" s="22" t="n">
        <f aca="false">X14*(1-Annahmen!$B$17)+Y11*Annahmen!$B$12/(1-Annahmen!$B$15*(1-Y6))</f>
        <v>14.165304846969</v>
      </c>
    </row>
    <row r="15" customFormat="false" ht="15" hidden="false" customHeight="false" outlineLevel="0" collapsed="false">
      <c r="A15" s="5" t="s">
        <v>139</v>
      </c>
      <c r="B15" s="22" t="n">
        <f aca="false">0*(1-Annahmen!$B$18)+B11*Annahmen!$B$13/(1-Annahmen!$B$15*(1-B6))</f>
        <v>0.666666666666667</v>
      </c>
      <c r="C15" s="22" t="n">
        <f aca="false">B15*(1-Annahmen!$B$18)+C11*Annahmen!$B$13/(1-Annahmen!$B$15*(1-C6))</f>
        <v>1.32</v>
      </c>
      <c r="D15" s="22" t="n">
        <f aca="false">C15*(1-Annahmen!$B$18)+D11*Annahmen!$B$13/(1-Annahmen!$B$15*(1-D6))</f>
        <v>2.2936</v>
      </c>
      <c r="E15" s="22" t="n">
        <f aca="false">D15*(1-Annahmen!$B$18)+E11*Annahmen!$B$13/(1-Annahmen!$B$15*(1-E6))</f>
        <v>3.247728</v>
      </c>
      <c r="F15" s="22" t="n">
        <f aca="false">E15*(1-Annahmen!$B$18)+F11*Annahmen!$B$13/(1-Annahmen!$B$15*(1-F6))</f>
        <v>4.18277344</v>
      </c>
      <c r="G15" s="22" t="n">
        <f aca="false">F15*(1-Annahmen!$B$18)+G11*Annahmen!$B$13/(1-Annahmen!$B$15*(1-G6))</f>
        <v>5.0991179712</v>
      </c>
      <c r="H15" s="22" t="n">
        <f aca="false">G15*(1-Annahmen!$B$18)+H11*Annahmen!$B$13/(1-Annahmen!$B$15*(1-H6))</f>
        <v>5.997135611776</v>
      </c>
      <c r="I15" s="22" t="n">
        <f aca="false">H15*(1-Annahmen!$B$18)+I11*Annahmen!$B$13/(1-Annahmen!$B$15*(1-I6))</f>
        <v>6.62719289954048</v>
      </c>
      <c r="J15" s="22" t="n">
        <f aca="false">I15*(1-Annahmen!$B$18)+J11*Annahmen!$B$13/(1-Annahmen!$B$15*(1-J6))</f>
        <v>7.24464904154967</v>
      </c>
      <c r="K15" s="22" t="n">
        <f aca="false">J15*(1-Annahmen!$B$18)+K11*Annahmen!$B$13/(1-Annahmen!$B$15*(1-K6))</f>
        <v>7.84975606071868</v>
      </c>
      <c r="L15" s="22" t="n">
        <f aca="false">K15*(1-Annahmen!$B$18)+L11*Annahmen!$B$13/(1-Annahmen!$B$15*(1-L6))</f>
        <v>8.4427609395043</v>
      </c>
      <c r="M15" s="22" t="n">
        <f aca="false">L15*(1-Annahmen!$B$18)+M11*Annahmen!$B$13/(1-Annahmen!$B$15*(1-M6))</f>
        <v>9.02390572071422</v>
      </c>
      <c r="N15" s="22" t="n">
        <f aca="false">M15*(1-Annahmen!$B$18)+N11*Annahmen!$B$13/(1-Annahmen!$B$15*(1-N6))</f>
        <v>9.59342760629993</v>
      </c>
      <c r="O15" s="22" t="n">
        <f aca="false">N15*(1-Annahmen!$B$18)+O11*Annahmen!$B$13/(1-Annahmen!$B$15*(1-O6))</f>
        <v>10.1515590541739</v>
      </c>
      <c r="P15" s="22" t="n">
        <f aca="false">O15*(1-Annahmen!$B$18)+P11*Annahmen!$B$13/(1-Annahmen!$B$15*(1-P6))</f>
        <v>10.6490250288385</v>
      </c>
      <c r="Q15" s="22" t="n">
        <f aca="false">P15*(1-Annahmen!$B$18)+Q11*Annahmen!$B$13/(1-Annahmen!$B$15*(1-Q6))</f>
        <v>11.0451122419402</v>
      </c>
      <c r="R15" s="22" t="n">
        <f aca="false">Q15*(1-Annahmen!$B$18)+R11*Annahmen!$B$13/(1-Annahmen!$B$15*(1-R6))</f>
        <v>11.3622530987924</v>
      </c>
      <c r="S15" s="22" t="n">
        <f aca="false">R15*(1-Annahmen!$B$18)+S11*Annahmen!$B$13/(1-Annahmen!$B$15*(1-S6))</f>
        <v>11.617857128995</v>
      </c>
      <c r="T15" s="22" t="n">
        <f aca="false">S15*(1-Annahmen!$B$18)+T11*Annahmen!$B$13/(1-Annahmen!$B$15*(1-T6))</f>
        <v>11.8254375427116</v>
      </c>
      <c r="U15" s="22" t="n">
        <f aca="false">T15*(1-Annahmen!$B$18)+U11*Annahmen!$B$13/(1-Annahmen!$B$15*(1-U6))</f>
        <v>11.9954850556057</v>
      </c>
      <c r="V15" s="22" t="n">
        <f aca="false">U15*(1-Annahmen!$B$18)+V11*Annahmen!$B$13/(1-Annahmen!$B$15*(1-V6))</f>
        <v>12.1361456822393</v>
      </c>
      <c r="W15" s="22" t="n">
        <f aca="false">V15*(1-Annahmen!$B$18)+W11*Annahmen!$B$13/(1-Annahmen!$B$15*(1-W6))</f>
        <v>12.2537464771664</v>
      </c>
      <c r="X15" s="22" t="n">
        <f aca="false">W15*(1-Annahmen!$B$18)+X11*Annahmen!$B$13/(1-Annahmen!$B$15*(1-X6))</f>
        <v>12.3532033362372</v>
      </c>
      <c r="Y15" s="22" t="n">
        <f aca="false">X15*(1-Annahmen!$B$18)+Y11*Annahmen!$B$13/(1-Annahmen!$B$15*(1-Y6))</f>
        <v>12.4383373175106</v>
      </c>
    </row>
    <row r="16" customFormat="false" ht="15" hidden="false" customHeight="false" outlineLevel="0" collapsed="false">
      <c r="A16" s="5" t="s">
        <v>140</v>
      </c>
      <c r="B16" s="22" t="n">
        <f aca="false">0*(1-Annahmen!$B$19)+B11*Annahmen!$B$14/(1-Annahmen!$B$15*(1-B6))</f>
        <v>0.666666666666667</v>
      </c>
      <c r="C16" s="22" t="n">
        <f aca="false">B16*(1-Annahmen!$B$19)+C11*Annahmen!$B$14/(1-Annahmen!$B$15*(1-C6))</f>
        <v>1.31333333333333</v>
      </c>
      <c r="D16" s="22" t="n">
        <f aca="false">C16*(1-Annahmen!$B$19)+D11*Annahmen!$B$14/(1-Annahmen!$B$15*(1-D6))</f>
        <v>2.27393333333333</v>
      </c>
      <c r="E16" s="22" t="n">
        <f aca="false">D16*(1-Annahmen!$B$19)+E11*Annahmen!$B$14/(1-Annahmen!$B$15*(1-E6))</f>
        <v>3.20571533333333</v>
      </c>
      <c r="F16" s="22" t="n">
        <f aca="false">E16*(1-Annahmen!$B$19)+F11*Annahmen!$B$14/(1-Annahmen!$B$15*(1-F6))</f>
        <v>4.10954387333333</v>
      </c>
      <c r="G16" s="22" t="n">
        <f aca="false">F16*(1-Annahmen!$B$19)+G11*Annahmen!$B$14/(1-Annahmen!$B$15*(1-G6))</f>
        <v>4.98625755713333</v>
      </c>
      <c r="H16" s="22" t="n">
        <f aca="false">G16*(1-Annahmen!$B$19)+H11*Annahmen!$B$14/(1-Annahmen!$B$15*(1-H6))</f>
        <v>5.83666983041933</v>
      </c>
      <c r="I16" s="22" t="n">
        <f aca="false">H16*(1-Annahmen!$B$19)+I11*Annahmen!$B$14/(1-Annahmen!$B$15*(1-I6))</f>
        <v>6.41156973550675</v>
      </c>
      <c r="J16" s="22" t="n">
        <f aca="false">I16*(1-Annahmen!$B$19)+J11*Annahmen!$B$14/(1-Annahmen!$B$15*(1-J6))</f>
        <v>6.96922264344155</v>
      </c>
      <c r="K16" s="22" t="n">
        <f aca="false">J16*(1-Annahmen!$B$19)+K11*Annahmen!$B$14/(1-Annahmen!$B$15*(1-K6))</f>
        <v>7.5101459641383</v>
      </c>
      <c r="L16" s="22" t="n">
        <f aca="false">K16*(1-Annahmen!$B$19)+L11*Annahmen!$B$14/(1-Annahmen!$B$15*(1-L6))</f>
        <v>8.03484158521415</v>
      </c>
      <c r="M16" s="22" t="n">
        <f aca="false">L16*(1-Annahmen!$B$19)+M11*Annahmen!$B$14/(1-Annahmen!$B$15*(1-M6))</f>
        <v>8.54379633765773</v>
      </c>
      <c r="N16" s="22" t="n">
        <f aca="false">M16*(1-Annahmen!$B$19)+N11*Annahmen!$B$14/(1-Annahmen!$B$15*(1-N6))</f>
        <v>9.037482447528</v>
      </c>
      <c r="O16" s="22" t="n">
        <f aca="false">N16*(1-Annahmen!$B$19)+O11*Annahmen!$B$14/(1-Annahmen!$B$15*(1-O6))</f>
        <v>9.51635797410216</v>
      </c>
      <c r="P16" s="22" t="n">
        <f aca="false">O16*(1-Annahmen!$B$19)+P11*Annahmen!$B$14/(1-Annahmen!$B$15*(1-P6))</f>
        <v>9.93136439062712</v>
      </c>
      <c r="Q16" s="22" t="n">
        <f aca="false">P16*(1-Annahmen!$B$19)+Q11*Annahmen!$B$14/(1-Annahmen!$B$15*(1-Q6))</f>
        <v>10.2424911725868</v>
      </c>
      <c r="R16" s="22" t="n">
        <f aca="false">Q16*(1-Annahmen!$B$19)+R11*Annahmen!$B$14/(1-Annahmen!$B$15*(1-R6))</f>
        <v>10.4732595391002</v>
      </c>
      <c r="S16" s="22" t="n">
        <f aca="false">R16*(1-Annahmen!$B$19)+S11*Annahmen!$B$14/(1-Annahmen!$B$15*(1-S6))</f>
        <v>10.6419108451056</v>
      </c>
      <c r="T16" s="22" t="n">
        <f aca="false">S16*(1-Annahmen!$B$19)+T11*Annahmen!$B$14/(1-Annahmen!$B$15*(1-T6))</f>
        <v>10.762591076049</v>
      </c>
      <c r="U16" s="22" t="n">
        <f aca="false">T16*(1-Annahmen!$B$19)+U11*Annahmen!$B$14/(1-Annahmen!$B$15*(1-U6))</f>
        <v>10.8462696075158</v>
      </c>
      <c r="V16" s="22" t="n">
        <f aca="false">U16*(1-Annahmen!$B$19)+V11*Annahmen!$B$14/(1-Annahmen!$B$15*(1-V6))</f>
        <v>10.9014518470361</v>
      </c>
      <c r="W16" s="22" t="n">
        <f aca="false">V16*(1-Annahmen!$B$19)+W11*Annahmen!$B$14/(1-Annahmen!$B$15*(1-W6))</f>
        <v>10.9347320001969</v>
      </c>
      <c r="X16" s="22" t="n">
        <f aca="false">W16*(1-Annahmen!$B$19)+X11*Annahmen!$B$14/(1-Annahmen!$B$15*(1-X6))</f>
        <v>10.9512218288051</v>
      </c>
      <c r="Y16" s="22" t="n">
        <f aca="false">X16*(1-Annahmen!$B$19)+Y11*Annahmen!$B$14/(1-Annahmen!$B$15*(1-Y6))</f>
        <v>10.9548832219391</v>
      </c>
    </row>
    <row r="17" customFormat="false" ht="15" hidden="false" customHeight="false" outlineLevel="0" collapsed="false">
      <c r="A17" s="5" t="s">
        <v>141</v>
      </c>
      <c r="B17" s="22" t="n">
        <f aca="false">0*(1-Annahmen!$B$20)+B11*Annahmen!$B$15*B6</f>
        <v>0</v>
      </c>
      <c r="C17" s="22" t="n">
        <f aca="false">B17*(1-Annahmen!$B$20)+C11*Annahmen!$B$15*C6</f>
        <v>0</v>
      </c>
      <c r="D17" s="22" t="n">
        <f aca="false">C17*(1-Annahmen!$B$20)+D11*Annahmen!$B$15*D6</f>
        <v>0</v>
      </c>
      <c r="E17" s="22" t="n">
        <f aca="false">D17*(1-Annahmen!$B$20)+E11*Annahmen!$B$15*E6</f>
        <v>0</v>
      </c>
      <c r="F17" s="22" t="n">
        <f aca="false">E17*(1-Annahmen!$B$20)+F11*Annahmen!$B$15*F6</f>
        <v>0</v>
      </c>
      <c r="G17" s="22" t="n">
        <f aca="false">F17*(1-Annahmen!$B$20)+G11*Annahmen!$B$15*G6</f>
        <v>0</v>
      </c>
      <c r="H17" s="22" t="n">
        <f aca="false">G17*(1-Annahmen!$B$20)+H11*Annahmen!$B$15*H6</f>
        <v>0</v>
      </c>
      <c r="I17" s="22" t="n">
        <f aca="false">H17*(1-Annahmen!$B$20)+I11*Annahmen!$B$15*I6</f>
        <v>0.75</v>
      </c>
      <c r="J17" s="22" t="n">
        <f aca="false">I17*(1-Annahmen!$B$20)+J11*Annahmen!$B$15*J6</f>
        <v>1.4625</v>
      </c>
      <c r="K17" s="22" t="n">
        <f aca="false">J17*(1-Annahmen!$B$20)+K11*Annahmen!$B$15*K6</f>
        <v>2.139375</v>
      </c>
      <c r="L17" s="22" t="n">
        <f aca="false">K17*(1-Annahmen!$B$20)+L11*Annahmen!$B$15*L6</f>
        <v>2.78240625</v>
      </c>
      <c r="M17" s="22" t="n">
        <f aca="false">L17*(1-Annahmen!$B$20)+M11*Annahmen!$B$15*M6</f>
        <v>3.3932859375</v>
      </c>
      <c r="N17" s="22" t="n">
        <f aca="false">M17*(1-Annahmen!$B$20)+N11*Annahmen!$B$15*N6</f>
        <v>3.973621640625</v>
      </c>
      <c r="O17" s="22" t="n">
        <f aca="false">N17*(1-Annahmen!$B$20)+O11*Annahmen!$B$15*O6</f>
        <v>4.52494055859375</v>
      </c>
      <c r="P17" s="22" t="n">
        <f aca="false">O17*(1-Annahmen!$B$20)+P11*Annahmen!$B$15*P6</f>
        <v>4.99919068641209</v>
      </c>
      <c r="Q17" s="22" t="n">
        <f aca="false">P17*(1-Annahmen!$B$20)+Q11*Annahmen!$B$15*Q6</f>
        <v>5.35829886576993</v>
      </c>
      <c r="R17" s="22" t="n">
        <f aca="false">Q17*(1-Annahmen!$B$20)+R11*Annahmen!$B$15*R6</f>
        <v>5.62842702417244</v>
      </c>
      <c r="S17" s="22" t="n">
        <f aca="false">R17*(1-Annahmen!$B$20)+S11*Annahmen!$B$15*S6</f>
        <v>5.82985476514229</v>
      </c>
      <c r="T17" s="22" t="n">
        <f aca="false">S17*(1-Annahmen!$B$20)+T11*Annahmen!$B$15*T6</f>
        <v>5.97829958318172</v>
      </c>
      <c r="U17" s="22" t="n">
        <f aca="false">T17*(1-Annahmen!$B$20)+U11*Annahmen!$B$15*U6</f>
        <v>6.08594086777095</v>
      </c>
      <c r="V17" s="22" t="n">
        <f aca="false">U17*(1-Annahmen!$B$20)+V11*Annahmen!$B$15*V6</f>
        <v>6.16221415212812</v>
      </c>
      <c r="W17" s="22" t="n">
        <f aca="false">V17*(1-Annahmen!$B$20)+W11*Annahmen!$B$15*W6</f>
        <v>6.21442715309357</v>
      </c>
      <c r="X17" s="22" t="n">
        <f aca="false">W17*(1-Annahmen!$B$20)+X11*Annahmen!$B$15*X6</f>
        <v>6.24823758405301</v>
      </c>
      <c r="Y17" s="22" t="n">
        <f aca="false">X17*(1-Annahmen!$B$20)+Y11*Annahmen!$B$15*Y6</f>
        <v>6.26802375284851</v>
      </c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customFormat="false" ht="15" hidden="false" customHeight="false" outlineLevel="0" collapsed="false">
      <c r="A19" s="7" t="s">
        <v>142</v>
      </c>
      <c r="B19" s="25" t="n">
        <f aca="false">B14*Annahmen!$B$6+B15*Annahmen!$B$7+B16*Annahmen!$B$9+B17*Annahmen!$B$10</f>
        <v>1186</v>
      </c>
      <c r="C19" s="25" t="n">
        <f aca="false">C14*Annahmen!$B$6+C15*Annahmen!$B$7+C16*Annahmen!$B$9+C17*Annahmen!$B$10</f>
        <v>2345.27333333333</v>
      </c>
      <c r="D19" s="25" t="n">
        <f aca="false">D14*Annahmen!$B$6+D15*Annahmen!$B$7+D16*Annahmen!$B$9+D17*Annahmen!$B$10</f>
        <v>4071.45393333333</v>
      </c>
      <c r="E19" s="25" t="n">
        <f aca="false">E14*Annahmen!$B$6+E15*Annahmen!$B$7+E16*Annahmen!$B$9+E17*Annahmen!$B$10</f>
        <v>5758.79664733333</v>
      </c>
      <c r="F19" s="25" t="n">
        <f aca="false">F14*Annahmen!$B$6+F15*Annahmen!$B$7+F16*Annahmen!$B$9+F17*Annahmen!$B$10</f>
        <v>7408.22127819333</v>
      </c>
      <c r="G19" s="25" t="n">
        <f aca="false">G14*Annahmen!$B$6+G15*Annahmen!$B$7+G16*Annahmen!$B$9+G17*Annahmen!$B$10</f>
        <v>9020.62480519273</v>
      </c>
      <c r="H19" s="25" t="n">
        <f aca="false">H14*Annahmen!$B$6+H15*Annahmen!$B$7+H16*Annahmen!$B$9+H17*Annahmen!$B$10</f>
        <v>10596.8819746893</v>
      </c>
      <c r="I19" s="25" t="n">
        <f aca="false">I14*Annahmen!$B$6+I15*Annahmen!$B$7+I16*Annahmen!$B$9+I17*Annahmen!$B$10</f>
        <v>12285.5958749259</v>
      </c>
      <c r="J19" s="25" t="n">
        <f aca="false">J14*Annahmen!$B$6+J15*Annahmen!$B$7+J16*Annahmen!$B$9+J17*Annahmen!$B$10</f>
        <v>13920.2459954229</v>
      </c>
      <c r="K19" s="25" t="n">
        <f aca="false">K14*Annahmen!$B$6+K15*Annahmen!$B$7+K16*Annahmen!$B$9+K17*Annahmen!$B$10</f>
        <v>15502.8872963824</v>
      </c>
      <c r="L19" s="25" t="n">
        <f aca="false">L14*Annahmen!$B$6+L15*Annahmen!$B$7+L16*Annahmen!$B$9+L17*Annahmen!$B$10</f>
        <v>17035.486558269</v>
      </c>
      <c r="M19" s="25" t="n">
        <f aca="false">M14*Annahmen!$B$6+M15*Annahmen!$B$7+M16*Annahmen!$B$9+M17*Annahmen!$B$10</f>
        <v>18519.92644752</v>
      </c>
      <c r="N19" s="25" t="n">
        <f aca="false">N14*Annahmen!$B$6+N15*Annahmen!$B$7+N16*Annahmen!$B$9+N17*Annahmen!$B$10</f>
        <v>19958.0093874316</v>
      </c>
      <c r="O19" s="25" t="n">
        <f aca="false">O14*Annahmen!$B$6+O15*Annahmen!$B$7+O16*Annahmen!$B$9+O17*Annahmen!$B$10</f>
        <v>21351.4612437443</v>
      </c>
      <c r="P19" s="25" t="n">
        <f aca="false">P14*Annahmen!$B$6+P15*Annahmen!$B$7+P16*Annahmen!$B$9+P17*Annahmen!$B$10</f>
        <v>22574.7620270967</v>
      </c>
      <c r="Q19" s="25" t="n">
        <f aca="false">Q14*Annahmen!$B$6+Q15*Annahmen!$B$7+Q16*Annahmen!$B$9+Q17*Annahmen!$B$10</f>
        <v>23525.7253500693</v>
      </c>
      <c r="R19" s="25" t="n">
        <f aca="false">R14*Annahmen!$B$6+R15*Annahmen!$B$7+R16*Annahmen!$B$9+R17*Annahmen!$B$10</f>
        <v>24265.4198367805</v>
      </c>
      <c r="S19" s="25" t="n">
        <f aca="false">S14*Annahmen!$B$6+S15*Annahmen!$B$7+S16*Annahmen!$B$9+S17*Annahmen!$B$10</f>
        <v>24841.2139511731</v>
      </c>
      <c r="T19" s="25" t="n">
        <f aca="false">T14*Annahmen!$B$6+T15*Annahmen!$B$7+T16*Annahmen!$B$9+T17*Annahmen!$B$10</f>
        <v>25289.8496105845</v>
      </c>
      <c r="U19" s="25" t="n">
        <f aca="false">U14*Annahmen!$B$6+U15*Annahmen!$B$7+U16*Annahmen!$B$9+U17*Annahmen!$B$10</f>
        <v>25639.8262352704</v>
      </c>
      <c r="V19" s="25" t="n">
        <f aca="false">V14*Annahmen!$B$6+V15*Annahmen!$B$7+V16*Annahmen!$B$9+V17*Annahmen!$B$10</f>
        <v>25913.249937395</v>
      </c>
      <c r="W19" s="25" t="n">
        <f aca="false">W14*Annahmen!$B$6+W15*Annahmen!$B$7+W16*Annahmen!$B$9+W17*Annahmen!$B$10</f>
        <v>26127.267845307</v>
      </c>
      <c r="X19" s="25" t="n">
        <f aca="false">X14*Annahmen!$B$6+X15*Annahmen!$B$7+X16*Annahmen!$B$9+X17*Annahmen!$B$10</f>
        <v>26295.1806378856</v>
      </c>
      <c r="Y19" s="25" t="n">
        <f aca="false">Y14*Annahmen!$B$6+Y15*Annahmen!$B$7+Y16*Annahmen!$B$9+Y17*Annahmen!$B$10</f>
        <v>26427.3054824371</v>
      </c>
    </row>
    <row r="20" customFormat="false" ht="15" hidden="false" customHeight="false" outlineLevel="0" collapsed="false">
      <c r="A20" s="5" t="s">
        <v>143</v>
      </c>
      <c r="B20" s="26" t="n">
        <f aca="false">B11*(Annahmen!$B$12/(1-Annahmen!$B$15*(1-B6))*Annahmen!$B$5+Annahmen!$B$13/(1-Annahmen!$B$15*(1-B6))*Annahmen!$B$8+Annahmen!$B$15*B6*Annahmen!$B$11)</f>
        <v>2460</v>
      </c>
      <c r="C20" s="26" t="n">
        <f aca="false">C11*(Annahmen!$B$12/(1-Annahmen!$B$15*(1-C6))*Annahmen!$B$5+Annahmen!$B$13/(1-Annahmen!$B$15*(1-C6))*Annahmen!$B$8+Annahmen!$B$15*C6*Annahmen!$B$11)</f>
        <v>2460</v>
      </c>
      <c r="D20" s="26" t="n">
        <f aca="false">D11*(Annahmen!$B$12/(1-Annahmen!$B$15*(1-D6))*Annahmen!$B$5+Annahmen!$B$13/(1-Annahmen!$B$15*(1-D6))*Annahmen!$B$8+Annahmen!$B$15*D6*Annahmen!$B$11)</f>
        <v>3690</v>
      </c>
      <c r="E20" s="26" t="n">
        <f aca="false">E11*(Annahmen!$B$12/(1-Annahmen!$B$15*(1-E6))*Annahmen!$B$5+Annahmen!$B$13/(1-Annahmen!$B$15*(1-E6))*Annahmen!$B$8+Annahmen!$B$15*E6*Annahmen!$B$11)</f>
        <v>3690</v>
      </c>
      <c r="F20" s="26" t="n">
        <f aca="false">F11*(Annahmen!$B$12/(1-Annahmen!$B$15*(1-F6))*Annahmen!$B$5+Annahmen!$B$13/(1-Annahmen!$B$15*(1-F6))*Annahmen!$B$8+Annahmen!$B$15*F6*Annahmen!$B$11)</f>
        <v>3690</v>
      </c>
      <c r="G20" s="26" t="n">
        <f aca="false">G11*(Annahmen!$B$12/(1-Annahmen!$B$15*(1-G6))*Annahmen!$B$5+Annahmen!$B$13/(1-Annahmen!$B$15*(1-G6))*Annahmen!$B$8+Annahmen!$B$15*G6*Annahmen!$B$11)</f>
        <v>3690</v>
      </c>
      <c r="H20" s="26" t="n">
        <f aca="false">H11*(Annahmen!$B$12/(1-Annahmen!$B$15*(1-H6))*Annahmen!$B$5+Annahmen!$B$13/(1-Annahmen!$B$15*(1-H6))*Annahmen!$B$8+Annahmen!$B$15*H6*Annahmen!$B$11)</f>
        <v>3690</v>
      </c>
      <c r="I20" s="26" t="n">
        <f aca="false">I11*(Annahmen!$B$12/(1-Annahmen!$B$15*(1-I6))*Annahmen!$B$5+Annahmen!$B$13/(1-Annahmen!$B$15*(1-I6))*Annahmen!$B$8+Annahmen!$B$15*I6*Annahmen!$B$11)</f>
        <v>3885</v>
      </c>
      <c r="J20" s="26" t="n">
        <f aca="false">J11*(Annahmen!$B$12/(1-Annahmen!$B$15*(1-J6))*Annahmen!$B$5+Annahmen!$B$13/(1-Annahmen!$B$15*(1-J6))*Annahmen!$B$8+Annahmen!$B$15*J6*Annahmen!$B$11)</f>
        <v>3885</v>
      </c>
      <c r="K20" s="26" t="n">
        <f aca="false">K11*(Annahmen!$B$12/(1-Annahmen!$B$15*(1-K6))*Annahmen!$B$5+Annahmen!$B$13/(1-Annahmen!$B$15*(1-K6))*Annahmen!$B$8+Annahmen!$B$15*K6*Annahmen!$B$11)</f>
        <v>3885</v>
      </c>
      <c r="L20" s="26" t="n">
        <f aca="false">L11*(Annahmen!$B$12/(1-Annahmen!$B$15*(1-L6))*Annahmen!$B$5+Annahmen!$B$13/(1-Annahmen!$B$15*(1-L6))*Annahmen!$B$8+Annahmen!$B$15*L6*Annahmen!$B$11)</f>
        <v>3885</v>
      </c>
      <c r="M20" s="26" t="n">
        <f aca="false">M11*(Annahmen!$B$12/(1-Annahmen!$B$15*(1-M6))*Annahmen!$B$5+Annahmen!$B$13/(1-Annahmen!$B$15*(1-M6))*Annahmen!$B$8+Annahmen!$B$15*M6*Annahmen!$B$11)</f>
        <v>3885</v>
      </c>
      <c r="N20" s="26" t="n">
        <f aca="false">N11*(Annahmen!$B$12/(1-Annahmen!$B$15*(1-N6))*Annahmen!$B$5+Annahmen!$B$13/(1-Annahmen!$B$15*(1-N6))*Annahmen!$B$8+Annahmen!$B$15*N6*Annahmen!$B$11)</f>
        <v>3885</v>
      </c>
      <c r="O20" s="26" t="n">
        <f aca="false">O11*(Annahmen!$B$12/(1-Annahmen!$B$15*(1-O6))*Annahmen!$B$5+Annahmen!$B$13/(1-Annahmen!$B$15*(1-O6))*Annahmen!$B$8+Annahmen!$B$15*O6*Annahmen!$B$11)</f>
        <v>3885</v>
      </c>
      <c r="P20" s="26" t="n">
        <f aca="false">P11*(Annahmen!$B$12/(1-Annahmen!$B$15*(1-P6))*Annahmen!$B$5+Annahmen!$B$13/(1-Annahmen!$B$15*(1-P6))*Annahmen!$B$8+Annahmen!$B$15*P6*Annahmen!$B$11)</f>
        <v>3628.57526677476</v>
      </c>
      <c r="Q20" s="26" t="n">
        <f aca="false">Q11*(Annahmen!$B$12/(1-Annahmen!$B$15*(1-Q6))*Annahmen!$B$5+Annahmen!$B$13/(1-Annahmen!$B$15*(1-Q6))*Annahmen!$B$8+Annahmen!$B$15*Q6*Annahmen!$B$11)</f>
        <v>3154.97075685438</v>
      </c>
      <c r="R20" s="26" t="n">
        <f aca="false">R11*(Annahmen!$B$12/(1-Annahmen!$B$15*(1-R6))*Annahmen!$B$5+Annahmen!$B$13/(1-Annahmen!$B$15*(1-R6))*Annahmen!$B$8+Annahmen!$B$15*R6*Annahmen!$B$11)</f>
        <v>2787.06326675937</v>
      </c>
      <c r="S20" s="26" t="n">
        <f aca="false">S11*(Annahmen!$B$12/(1-Annahmen!$B$15*(1-S6))*Annahmen!$B$5+Annahmen!$B$13/(1-Annahmen!$B$15*(1-S6))*Annahmen!$B$8+Annahmen!$B$15*S6*Annahmen!$B$11)</f>
        <v>2501.15829748453</v>
      </c>
      <c r="T20" s="26" t="n">
        <f aca="false">T11*(Annahmen!$B$12/(1-Annahmen!$B$15*(1-T6))*Annahmen!$B$5+Annahmen!$B$13/(1-Annahmen!$B$15*(1-T6))*Annahmen!$B$8+Annahmen!$B$15*T6*Annahmen!$B$11)</f>
        <v>2278.87654161607</v>
      </c>
      <c r="U20" s="26" t="n">
        <f aca="false">U11*(Annahmen!$B$12/(1-Annahmen!$B$15*(1-U6))*Annahmen!$B$5+Annahmen!$B$13/(1-Annahmen!$B$15*(1-U6))*Annahmen!$B$8+Annahmen!$B$15*U6*Annahmen!$B$11)</f>
        <v>2105.96144621627</v>
      </c>
      <c r="V20" s="26" t="n">
        <f aca="false">V11*(Annahmen!$B$12/(1-Annahmen!$B$15*(1-V6))*Annahmen!$B$5+Annahmen!$B$13/(1-Annahmen!$B$15*(1-V6))*Annahmen!$B$8+Annahmen!$B$15*V6*Annahmen!$B$11)</f>
        <v>1971.35429772285</v>
      </c>
      <c r="W20" s="26" t="n">
        <f aca="false">W11*(Annahmen!$B$12/(1-Annahmen!$B$15*(1-W6))*Annahmen!$B$5+Annahmen!$B$13/(1-Annahmen!$B$15*(1-W6))*Annahmen!$B$8+Annahmen!$B$15*W6*Annahmen!$B$11)</f>
        <v>1866.47681040218</v>
      </c>
      <c r="X20" s="26" t="n">
        <f aca="false">X11*(Annahmen!$B$12/(1-Annahmen!$B$15*(1-X6))*Annahmen!$B$5+Annahmen!$B$13/(1-Annahmen!$B$15*(1-X6))*Annahmen!$B$8+Annahmen!$B$15*X6*Annahmen!$B$11)</f>
        <v>1784.67466502117</v>
      </c>
      <c r="Y20" s="26" t="n">
        <f aca="false">Y11*(Annahmen!$B$12/(1-Annahmen!$B$15*(1-Y6))*Annahmen!$B$5+Annahmen!$B$13/(1-Annahmen!$B$15*(1-Y6))*Annahmen!$B$8+Annahmen!$B$15*Y6*Annahmen!$B$11)</f>
        <v>1720.78588863043</v>
      </c>
    </row>
    <row r="21" customFormat="false" ht="15" hidden="false" customHeight="false" outlineLevel="0" collapsed="false">
      <c r="A21" s="7" t="s">
        <v>144</v>
      </c>
      <c r="B21" s="25" t="n">
        <f aca="false">B19+B20</f>
        <v>3646</v>
      </c>
      <c r="C21" s="25" t="n">
        <f aca="false">C19+C20</f>
        <v>4805.27333333333</v>
      </c>
      <c r="D21" s="25" t="n">
        <f aca="false">D19+D20</f>
        <v>7761.45393333333</v>
      </c>
      <c r="E21" s="25" t="n">
        <f aca="false">E19+E20</f>
        <v>9448.79664733333</v>
      </c>
      <c r="F21" s="25" t="n">
        <f aca="false">F19+F20</f>
        <v>11098.2212781933</v>
      </c>
      <c r="G21" s="25" t="n">
        <f aca="false">G19+G20</f>
        <v>12710.6248051927</v>
      </c>
      <c r="H21" s="25" t="n">
        <f aca="false">H19+H20</f>
        <v>14286.8819746893</v>
      </c>
      <c r="I21" s="25" t="n">
        <f aca="false">I19+I20</f>
        <v>16170.5958749259</v>
      </c>
      <c r="J21" s="25" t="n">
        <f aca="false">J19+J20</f>
        <v>17805.2459954229</v>
      </c>
      <c r="K21" s="25" t="n">
        <f aca="false">K19+K20</f>
        <v>19387.8872963824</v>
      </c>
      <c r="L21" s="25" t="n">
        <f aca="false">L19+L20</f>
        <v>20920.486558269</v>
      </c>
      <c r="M21" s="25" t="n">
        <f aca="false">M19+M20</f>
        <v>22404.92644752</v>
      </c>
      <c r="N21" s="25" t="n">
        <f aca="false">N19+N20</f>
        <v>23843.0093874316</v>
      </c>
      <c r="O21" s="25" t="n">
        <f aca="false">O19+O20</f>
        <v>25236.4612437443</v>
      </c>
      <c r="P21" s="25" t="n">
        <f aca="false">P19+P20</f>
        <v>26203.3372938714</v>
      </c>
      <c r="Q21" s="25" t="n">
        <f aca="false">Q19+Q20</f>
        <v>26680.6961069237</v>
      </c>
      <c r="R21" s="25" t="n">
        <f aca="false">R19+R20</f>
        <v>27052.4831035398</v>
      </c>
      <c r="S21" s="25" t="n">
        <f aca="false">S19+S20</f>
        <v>27342.3722486576</v>
      </c>
      <c r="T21" s="25" t="n">
        <f aca="false">T19+T20</f>
        <v>27568.7261522006</v>
      </c>
      <c r="U21" s="25" t="n">
        <f aca="false">U19+U20</f>
        <v>27745.7876814866</v>
      </c>
      <c r="V21" s="25" t="n">
        <f aca="false">V19+V20</f>
        <v>27884.6042351178</v>
      </c>
      <c r="W21" s="25" t="n">
        <f aca="false">W19+W20</f>
        <v>27993.7446557092</v>
      </c>
      <c r="X21" s="25" t="n">
        <f aca="false">X19+X20</f>
        <v>28079.8553029067</v>
      </c>
      <c r="Y21" s="25" t="n">
        <f aca="false">Y19+Y20</f>
        <v>28148.0913710675</v>
      </c>
    </row>
    <row r="22" customFormat="false" ht="15" hidden="false" customHeight="false" outlineLevel="0" collapsed="false">
      <c r="A22" s="5" t="s">
        <v>145</v>
      </c>
      <c r="B22" s="26" t="n">
        <f aca="false">Annahmen!$B$42+Annahmen!$B$43+B7*Annahmen!$B$40</f>
        <v>355</v>
      </c>
      <c r="C22" s="26" t="n">
        <f aca="false">Annahmen!$B$42+Annahmen!$B$43+C7*Annahmen!$B$40</f>
        <v>355</v>
      </c>
      <c r="D22" s="26" t="n">
        <f aca="false">Annahmen!$B$42+Annahmen!$B$43+D7*Annahmen!$B$40</f>
        <v>505</v>
      </c>
      <c r="E22" s="26" t="n">
        <f aca="false">Annahmen!$B$42+Annahmen!$B$43+E7*Annahmen!$B$40</f>
        <v>505</v>
      </c>
      <c r="F22" s="26" t="n">
        <f aca="false">Annahmen!$B$42+Annahmen!$B$43+F7*Annahmen!$B$40</f>
        <v>505</v>
      </c>
      <c r="G22" s="26" t="n">
        <f aca="false">Annahmen!$B$42+Annahmen!$B$43+G7*Annahmen!$B$40</f>
        <v>505</v>
      </c>
      <c r="H22" s="26" t="n">
        <f aca="false">Annahmen!$B$42+Annahmen!$B$43+H7*Annahmen!$B$40</f>
        <v>505</v>
      </c>
      <c r="I22" s="26" t="n">
        <f aca="false">Annahmen!$B$42+Annahmen!$B$43+I7*Annahmen!$B$40</f>
        <v>505</v>
      </c>
      <c r="J22" s="26" t="n">
        <f aca="false">Annahmen!$B$42+Annahmen!$B$43+J7*Annahmen!$B$40</f>
        <v>505</v>
      </c>
      <c r="K22" s="26" t="n">
        <f aca="false">Annahmen!$B$42+Annahmen!$B$43+K7*Annahmen!$B$40</f>
        <v>505</v>
      </c>
      <c r="L22" s="26" t="n">
        <f aca="false">Annahmen!$B$42+Annahmen!$B$43+L7*Annahmen!$B$40</f>
        <v>505</v>
      </c>
      <c r="M22" s="26" t="n">
        <f aca="false">Annahmen!$B$42+Annahmen!$B$43+M7*Annahmen!$B$40</f>
        <v>505</v>
      </c>
      <c r="N22" s="26" t="n">
        <f aca="false">Annahmen!$B$42+Annahmen!$B$43+N7*Annahmen!$B$40</f>
        <v>505</v>
      </c>
      <c r="O22" s="26" t="n">
        <f aca="false">Annahmen!$B$42+Annahmen!$B$43+O7*Annahmen!$B$40</f>
        <v>505</v>
      </c>
      <c r="P22" s="26" t="n">
        <f aca="false">Annahmen!$B$42+Annahmen!$B$43+P7*Annahmen!$B$40</f>
        <v>505</v>
      </c>
      <c r="Q22" s="26" t="n">
        <f aca="false">Annahmen!$B$42+Annahmen!$B$43+Q7*Annahmen!$B$40</f>
        <v>505</v>
      </c>
      <c r="R22" s="26" t="n">
        <f aca="false">Annahmen!$B$42+Annahmen!$B$43+R7*Annahmen!$B$40</f>
        <v>505</v>
      </c>
      <c r="S22" s="26" t="n">
        <f aca="false">Annahmen!$B$42+Annahmen!$B$43+S7*Annahmen!$B$40</f>
        <v>505</v>
      </c>
      <c r="T22" s="26" t="n">
        <f aca="false">Annahmen!$B$42+Annahmen!$B$43+T7*Annahmen!$B$40</f>
        <v>505</v>
      </c>
      <c r="U22" s="26" t="n">
        <f aca="false">Annahmen!$B$42+Annahmen!$B$43+U7*Annahmen!$B$40</f>
        <v>505</v>
      </c>
      <c r="V22" s="26" t="n">
        <f aca="false">Annahmen!$B$42+Annahmen!$B$43+V7*Annahmen!$B$40</f>
        <v>505</v>
      </c>
      <c r="W22" s="26" t="n">
        <f aca="false">Annahmen!$B$42+Annahmen!$B$43+W7*Annahmen!$B$40</f>
        <v>505</v>
      </c>
      <c r="X22" s="26" t="n">
        <f aca="false">Annahmen!$B$42+Annahmen!$B$43+X7*Annahmen!$B$40</f>
        <v>505</v>
      </c>
      <c r="Y22" s="26" t="n">
        <f aca="false">Annahmen!$B$42+Annahmen!$B$43+Y7*Annahmen!$B$40</f>
        <v>505</v>
      </c>
    </row>
    <row r="23" customFormat="false" ht="15" hidden="false" customHeight="false" outlineLevel="0" collapsed="false">
      <c r="A23" s="7" t="s">
        <v>146</v>
      </c>
      <c r="B23" s="25" t="n">
        <f aca="false">B21-B22</f>
        <v>3291</v>
      </c>
      <c r="C23" s="25" t="n">
        <f aca="false">C21-C22</f>
        <v>4450.27333333333</v>
      </c>
      <c r="D23" s="25" t="n">
        <f aca="false">D21-D22</f>
        <v>7256.45393333333</v>
      </c>
      <c r="E23" s="25" t="n">
        <f aca="false">E21-E22</f>
        <v>8943.79664733333</v>
      </c>
      <c r="F23" s="25" t="n">
        <f aca="false">F21-F22</f>
        <v>10593.2212781933</v>
      </c>
      <c r="G23" s="25" t="n">
        <f aca="false">G21-G22</f>
        <v>12205.6248051927</v>
      </c>
      <c r="H23" s="25" t="n">
        <f aca="false">H21-H22</f>
        <v>13781.8819746893</v>
      </c>
      <c r="I23" s="25" t="n">
        <f aca="false">I21-I22</f>
        <v>15665.5958749259</v>
      </c>
      <c r="J23" s="25" t="n">
        <f aca="false">J21-J22</f>
        <v>17300.2459954229</v>
      </c>
      <c r="K23" s="25" t="n">
        <f aca="false">K21-K22</f>
        <v>18882.8872963824</v>
      </c>
      <c r="L23" s="25" t="n">
        <f aca="false">L21-L22</f>
        <v>20415.486558269</v>
      </c>
      <c r="M23" s="25" t="n">
        <f aca="false">M21-M22</f>
        <v>21899.92644752</v>
      </c>
      <c r="N23" s="25" t="n">
        <f aca="false">N21-N22</f>
        <v>23338.0093874316</v>
      </c>
      <c r="O23" s="25" t="n">
        <f aca="false">O21-O22</f>
        <v>24731.4612437443</v>
      </c>
      <c r="P23" s="25" t="n">
        <f aca="false">P21-P22</f>
        <v>25698.3372938714</v>
      </c>
      <c r="Q23" s="25" t="n">
        <f aca="false">Q21-Q22</f>
        <v>26175.6961069237</v>
      </c>
      <c r="R23" s="25" t="n">
        <f aca="false">R21-R22</f>
        <v>26547.4831035398</v>
      </c>
      <c r="S23" s="25" t="n">
        <f aca="false">S21-S22</f>
        <v>26837.3722486576</v>
      </c>
      <c r="T23" s="25" t="n">
        <f aca="false">T21-T22</f>
        <v>27063.7261522006</v>
      </c>
      <c r="U23" s="25" t="n">
        <f aca="false">U21-U22</f>
        <v>27240.7876814866</v>
      </c>
      <c r="V23" s="25" t="n">
        <f aca="false">V21-V22</f>
        <v>27379.6042351178</v>
      </c>
      <c r="W23" s="25" t="n">
        <f aca="false">W21-W22</f>
        <v>27488.7446557092</v>
      </c>
      <c r="X23" s="25" t="n">
        <f aca="false">X21-X22</f>
        <v>27574.8553029067</v>
      </c>
      <c r="Y23" s="25" t="n">
        <f aca="false">Y21-Y22</f>
        <v>27643.0913710675</v>
      </c>
    </row>
    <row r="24" customFormat="false" ht="15" hidden="false" customHeight="false" outlineLevel="0" collapsed="false">
      <c r="A24" s="7" t="s">
        <v>147</v>
      </c>
      <c r="B24" s="16" t="n">
        <f aca="false">B23</f>
        <v>3291</v>
      </c>
      <c r="C24" s="16" t="n">
        <f aca="false">B24+C23</f>
        <v>7741.27333333333</v>
      </c>
      <c r="D24" s="16" t="n">
        <f aca="false">C24+D23</f>
        <v>14997.7272666667</v>
      </c>
      <c r="E24" s="16" t="n">
        <f aca="false">D24+E23</f>
        <v>23941.523914</v>
      </c>
      <c r="F24" s="16" t="n">
        <f aca="false">E24+F23</f>
        <v>34534.7451921933</v>
      </c>
      <c r="G24" s="16" t="n">
        <f aca="false">F24+G23</f>
        <v>46740.3699973861</v>
      </c>
      <c r="H24" s="16" t="n">
        <f aca="false">G24+H23</f>
        <v>60522.2519720754</v>
      </c>
      <c r="I24" s="16" t="n">
        <f aca="false">H24+I23</f>
        <v>76187.8478470014</v>
      </c>
      <c r="J24" s="16" t="n">
        <f aca="false">I24+J23</f>
        <v>93488.0938424243</v>
      </c>
      <c r="K24" s="16" t="n">
        <f aca="false">J24+K23</f>
        <v>112370.981138807</v>
      </c>
      <c r="L24" s="16" t="n">
        <f aca="false">K24+L23</f>
        <v>132786.467697076</v>
      </c>
      <c r="M24" s="16" t="n">
        <f aca="false">L24+M23</f>
        <v>154686.394144596</v>
      </c>
      <c r="N24" s="16" t="n">
        <f aca="false">M24+N23</f>
        <v>178024.403532027</v>
      </c>
      <c r="O24" s="16" t="n">
        <f aca="false">N24+O23</f>
        <v>202755.864775772</v>
      </c>
      <c r="P24" s="16" t="n">
        <f aca="false">O24+P23</f>
        <v>228454.202069643</v>
      </c>
      <c r="Q24" s="16" t="n">
        <f aca="false">P24+Q23</f>
        <v>254629.898176567</v>
      </c>
      <c r="R24" s="16" t="n">
        <f aca="false">Q24+R23</f>
        <v>281177.381280107</v>
      </c>
      <c r="S24" s="16" t="n">
        <f aca="false">R24+S23</f>
        <v>308014.753528764</v>
      </c>
      <c r="T24" s="16" t="n">
        <f aca="false">S24+T23</f>
        <v>335078.479680965</v>
      </c>
      <c r="U24" s="16" t="n">
        <f aca="false">T24+U23</f>
        <v>362319.267362452</v>
      </c>
      <c r="V24" s="16" t="n">
        <f aca="false">U24+V23</f>
        <v>389698.871597569</v>
      </c>
      <c r="W24" s="16" t="n">
        <f aca="false">V24+W23</f>
        <v>417187.616253279</v>
      </c>
      <c r="X24" s="16" t="n">
        <f aca="false">W24+X23</f>
        <v>444762.471556185</v>
      </c>
      <c r="Y24" s="16" t="n">
        <f aca="false">X24+Y23</f>
        <v>472405.562927253</v>
      </c>
    </row>
    <row r="25" customFormat="false" ht="15" hidden="false" customHeight="false" outlineLevel="0" collapsed="false">
      <c r="A25" s="5" t="s">
        <v>148</v>
      </c>
      <c r="B25" s="22" t="n">
        <f aca="false">B9+B11*B8</f>
        <v>74.1666666666667</v>
      </c>
      <c r="C25" s="22" t="n">
        <f aca="false">C9+C11*C8</f>
        <v>87</v>
      </c>
      <c r="D25" s="22" t="n">
        <f aca="false">D9+D11*D8</f>
        <v>70.4126666666667</v>
      </c>
      <c r="E25" s="22" t="n">
        <f aca="false">E9+E11*E8</f>
        <v>80.20834</v>
      </c>
      <c r="F25" s="22" t="n">
        <f aca="false">F9+F11*F8</f>
        <v>89.7802686</v>
      </c>
      <c r="G25" s="22" t="n">
        <f aca="false">G9+G11*G8</f>
        <v>99.133782034</v>
      </c>
      <c r="H25" s="22" t="n">
        <f aca="false">H9+H11*H8</f>
        <v>108.27407744046</v>
      </c>
      <c r="I25" s="22" t="n">
        <f aca="false">I9+I11*I8</f>
        <v>114.931222954643</v>
      </c>
      <c r="J25" s="22" t="n">
        <f aca="false">J9+J11*J8</f>
        <v>124.135161042447</v>
      </c>
      <c r="K25" s="22" t="n">
        <f aca="false">K9+K11*K8</f>
        <v>133.048461744925</v>
      </c>
      <c r="L25" s="22" t="n">
        <f aca="false">L9+L11*L8</f>
        <v>141.681948335961</v>
      </c>
      <c r="M25" s="22" t="n">
        <f aca="false">M9+M11*M8</f>
        <v>150.045987170502</v>
      </c>
      <c r="N25" s="22" t="n">
        <f aca="false">N9+N11*N8</f>
        <v>158.150508537919</v>
      </c>
      <c r="O25" s="22" t="n">
        <f aca="false">O9+O11*O8</f>
        <v>166.005026521831</v>
      </c>
      <c r="P25" s="22" t="n">
        <f aca="false">P9+P11*P8</f>
        <v>170</v>
      </c>
      <c r="Q25" s="22" t="n">
        <f aca="false">Q9+Q11*Q8</f>
        <v>170</v>
      </c>
      <c r="R25" s="22" t="n">
        <f aca="false">R9+R11*R8</f>
        <v>170</v>
      </c>
      <c r="S25" s="22" t="n">
        <f aca="false">S9+S11*S8</f>
        <v>170</v>
      </c>
      <c r="T25" s="22" t="n">
        <f aca="false">T9+T11*T8</f>
        <v>170</v>
      </c>
      <c r="U25" s="22" t="n">
        <f aca="false">U9+U11*U8</f>
        <v>170</v>
      </c>
      <c r="V25" s="22" t="n">
        <f aca="false">V9+V11*V8</f>
        <v>170</v>
      </c>
      <c r="W25" s="22" t="n">
        <f aca="false">W9+W11*W8</f>
        <v>170</v>
      </c>
      <c r="X25" s="22" t="n">
        <f aca="false">X9+X11*X8</f>
        <v>170</v>
      </c>
      <c r="Y25" s="22" t="n">
        <f aca="false">Y9+Y11*Y8</f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5" min="2" style="0" width="10"/>
  </cols>
  <sheetData>
    <row r="1" customFormat="false" ht="17.35" hidden="false" customHeight="false" outlineLevel="0" collapsed="false">
      <c r="A1" s="1" t="s">
        <v>152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" hidden="false" customHeight="false" outlineLevel="0" collapsed="false">
      <c r="A2" s="3" t="s">
        <v>128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5" hidden="false" customHeight="false" outlineLevel="0" collapsed="false">
      <c r="A4" s="4" t="s">
        <v>129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4" t="s">
        <v>35</v>
      </c>
      <c r="M4" s="4" t="s">
        <v>36</v>
      </c>
      <c r="N4" s="4" t="s">
        <v>37</v>
      </c>
      <c r="O4" s="4" t="s">
        <v>38</v>
      </c>
      <c r="P4" s="4" t="s">
        <v>39</v>
      </c>
      <c r="Q4" s="4" t="s">
        <v>40</v>
      </c>
      <c r="R4" s="4" t="s">
        <v>41</v>
      </c>
      <c r="S4" s="4" t="s">
        <v>42</v>
      </c>
      <c r="T4" s="4" t="s">
        <v>43</v>
      </c>
      <c r="U4" s="4" t="s">
        <v>44</v>
      </c>
      <c r="V4" s="4" t="s">
        <v>45</v>
      </c>
      <c r="W4" s="4" t="s">
        <v>46</v>
      </c>
      <c r="X4" s="4" t="s">
        <v>47</v>
      </c>
      <c r="Y4" s="4" t="s">
        <v>48</v>
      </c>
    </row>
    <row r="5" customFormat="false" ht="15" hidden="false" customHeight="false" outlineLevel="0" collapsed="false">
      <c r="A5" s="5" t="s">
        <v>130</v>
      </c>
      <c r="B5" s="22" t="n">
        <f aca="false">Annahmen!$D$48</f>
        <v>3</v>
      </c>
      <c r="C5" s="22" t="n">
        <f aca="false">Annahmen!$D$48</f>
        <v>3</v>
      </c>
      <c r="D5" s="22" t="n">
        <f aca="false">Annahmen!$D$49</f>
        <v>4</v>
      </c>
      <c r="E5" s="22" t="n">
        <f aca="false">Annahmen!$D$49</f>
        <v>4</v>
      </c>
      <c r="F5" s="22" t="n">
        <f aca="false">Annahmen!$D$49</f>
        <v>4</v>
      </c>
      <c r="G5" s="22" t="n">
        <f aca="false">Annahmen!$D$49</f>
        <v>4</v>
      </c>
      <c r="H5" s="22" t="n">
        <f aca="false">Annahmen!$D$49</f>
        <v>4</v>
      </c>
      <c r="I5" s="22" t="n">
        <f aca="false">Annahmen!$D$49</f>
        <v>4</v>
      </c>
      <c r="J5" s="22" t="n">
        <f aca="false">Annahmen!$D$49</f>
        <v>4</v>
      </c>
      <c r="K5" s="22" t="n">
        <f aca="false">Annahmen!$D$49</f>
        <v>4</v>
      </c>
      <c r="L5" s="22" t="n">
        <f aca="false">Annahmen!$D$49</f>
        <v>4</v>
      </c>
      <c r="M5" s="22" t="n">
        <f aca="false">Annahmen!$D$49</f>
        <v>4</v>
      </c>
      <c r="N5" s="22" t="n">
        <f aca="false">Annahmen!$D$49</f>
        <v>4</v>
      </c>
      <c r="O5" s="22" t="n">
        <f aca="false">Annahmen!$D$49</f>
        <v>4</v>
      </c>
      <c r="P5" s="22" t="n">
        <f aca="false">Annahmen!$D$49</f>
        <v>4</v>
      </c>
      <c r="Q5" s="22" t="n">
        <f aca="false">Annahmen!$D$49</f>
        <v>4</v>
      </c>
      <c r="R5" s="22" t="n">
        <f aca="false">Annahmen!$D$49</f>
        <v>4</v>
      </c>
      <c r="S5" s="22" t="n">
        <f aca="false">Annahmen!$D$49</f>
        <v>4</v>
      </c>
      <c r="T5" s="22" t="n">
        <f aca="false">Annahmen!$D$49</f>
        <v>4</v>
      </c>
      <c r="U5" s="22" t="n">
        <f aca="false">Annahmen!$D$49</f>
        <v>4</v>
      </c>
      <c r="V5" s="22" t="n">
        <f aca="false">Annahmen!$D$49</f>
        <v>4</v>
      </c>
      <c r="W5" s="22" t="n">
        <f aca="false">Annahmen!$D$49</f>
        <v>4</v>
      </c>
      <c r="X5" s="22" t="n">
        <f aca="false">Annahmen!$D$49</f>
        <v>4</v>
      </c>
      <c r="Y5" s="22" t="n">
        <f aca="false">Annahmen!$D$49</f>
        <v>4</v>
      </c>
    </row>
    <row r="6" customFormat="false" ht="15" hidden="false" customHeight="false" outlineLevel="0" collapsed="false">
      <c r="A6" s="5" t="s">
        <v>131</v>
      </c>
      <c r="B6" s="23" t="n">
        <f aca="false">IF(1&gt;=Annahmen!$B$16,1,0)</f>
        <v>0</v>
      </c>
      <c r="C6" s="23" t="n">
        <f aca="false">IF(2&gt;=Annahmen!$B$16,1,0)</f>
        <v>0</v>
      </c>
      <c r="D6" s="23" t="n">
        <f aca="false">IF(3&gt;=Annahmen!$B$16,1,0)</f>
        <v>0</v>
      </c>
      <c r="E6" s="23" t="n">
        <f aca="false">IF(4&gt;=Annahmen!$B$16,1,0)</f>
        <v>0</v>
      </c>
      <c r="F6" s="23" t="n">
        <f aca="false">IF(5&gt;=Annahmen!$B$16,1,0)</f>
        <v>0</v>
      </c>
      <c r="G6" s="23" t="n">
        <f aca="false">IF(6&gt;=Annahmen!$B$16,1,0)</f>
        <v>0</v>
      </c>
      <c r="H6" s="23" t="n">
        <f aca="false">IF(7&gt;=Annahmen!$B$16,1,0)</f>
        <v>0</v>
      </c>
      <c r="I6" s="23" t="n">
        <f aca="false">IF(8&gt;=Annahmen!$B$16,1,0)</f>
        <v>1</v>
      </c>
      <c r="J6" s="23" t="n">
        <f aca="false">IF(9&gt;=Annahmen!$B$16,1,0)</f>
        <v>1</v>
      </c>
      <c r="K6" s="23" t="n">
        <f aca="false">IF(10&gt;=Annahmen!$B$16,1,0)</f>
        <v>1</v>
      </c>
      <c r="L6" s="23" t="n">
        <f aca="false">IF(11&gt;=Annahmen!$B$16,1,0)</f>
        <v>1</v>
      </c>
      <c r="M6" s="23" t="n">
        <f aca="false">IF(12&gt;=Annahmen!$B$16,1,0)</f>
        <v>1</v>
      </c>
      <c r="N6" s="23" t="n">
        <f aca="false">IF(13&gt;=Annahmen!$B$16,1,0)</f>
        <v>1</v>
      </c>
      <c r="O6" s="23" t="n">
        <f aca="false">IF(14&gt;=Annahmen!$B$16,1,0)</f>
        <v>1</v>
      </c>
      <c r="P6" s="23" t="n">
        <f aca="false">IF(15&gt;=Annahmen!$B$16,1,0)</f>
        <v>1</v>
      </c>
      <c r="Q6" s="23" t="n">
        <f aca="false">IF(16&gt;=Annahmen!$B$16,1,0)</f>
        <v>1</v>
      </c>
      <c r="R6" s="23" t="n">
        <f aca="false">IF(17&gt;=Annahmen!$B$16,1,0)</f>
        <v>1</v>
      </c>
      <c r="S6" s="23" t="n">
        <f aca="false">IF(18&gt;=Annahmen!$B$16,1,0)</f>
        <v>1</v>
      </c>
      <c r="T6" s="23" t="n">
        <f aca="false">IF(19&gt;=Annahmen!$B$16,1,0)</f>
        <v>1</v>
      </c>
      <c r="U6" s="23" t="n">
        <f aca="false">IF(20&gt;=Annahmen!$B$16,1,0)</f>
        <v>1</v>
      </c>
      <c r="V6" s="23" t="n">
        <f aca="false">IF(21&gt;=Annahmen!$B$16,1,0)</f>
        <v>1</v>
      </c>
      <c r="W6" s="23" t="n">
        <f aca="false">IF(22&gt;=Annahmen!$B$16,1,0)</f>
        <v>1</v>
      </c>
      <c r="X6" s="23" t="n">
        <f aca="false">IF(23&gt;=Annahmen!$B$16,1,0)</f>
        <v>1</v>
      </c>
      <c r="Y6" s="23" t="n">
        <f aca="false">IF(24&gt;=Annahmen!$B$16,1,0)</f>
        <v>1</v>
      </c>
    </row>
    <row r="7" customFormat="false" ht="15" hidden="false" customHeight="false" outlineLevel="0" collapsed="false">
      <c r="A7" s="5" t="s">
        <v>132</v>
      </c>
      <c r="B7" s="23" t="n">
        <f aca="false">0</f>
        <v>0</v>
      </c>
      <c r="C7" s="23" t="n">
        <f aca="false">0</f>
        <v>0</v>
      </c>
      <c r="D7" s="23" t="n">
        <f aca="false">0</f>
        <v>0</v>
      </c>
      <c r="E7" s="23" t="n">
        <f aca="false">0</f>
        <v>0</v>
      </c>
      <c r="F7" s="23" t="n">
        <f aca="false">0</f>
        <v>0</v>
      </c>
      <c r="G7" s="23" t="n">
        <f aca="false">0</f>
        <v>0</v>
      </c>
      <c r="H7" s="23" t="n">
        <f aca="false">0</f>
        <v>0</v>
      </c>
      <c r="I7" s="23" t="n">
        <f aca="false">0</f>
        <v>0</v>
      </c>
      <c r="J7" s="23" t="n">
        <f aca="false">0</f>
        <v>0</v>
      </c>
      <c r="K7" s="23" t="n">
        <f aca="false">0</f>
        <v>0</v>
      </c>
      <c r="L7" s="23" t="n">
        <f aca="false">0</f>
        <v>0</v>
      </c>
      <c r="M7" s="23" t="n">
        <f aca="false">0</f>
        <v>0</v>
      </c>
      <c r="N7" s="23" t="n">
        <f aca="false">0</f>
        <v>0</v>
      </c>
      <c r="O7" s="23" t="n">
        <f aca="false">0</f>
        <v>0</v>
      </c>
      <c r="P7" s="23" t="n">
        <f aca="false">0</f>
        <v>0</v>
      </c>
      <c r="Q7" s="23" t="n">
        <f aca="false">0</f>
        <v>0</v>
      </c>
      <c r="R7" s="23" t="n">
        <f aca="false">0</f>
        <v>0</v>
      </c>
      <c r="S7" s="23" t="n">
        <f aca="false">0</f>
        <v>0</v>
      </c>
      <c r="T7" s="23" t="n">
        <f aca="false">0</f>
        <v>0</v>
      </c>
      <c r="U7" s="23" t="n">
        <f aca="false">0</f>
        <v>0</v>
      </c>
      <c r="V7" s="23" t="n">
        <f aca="false">0</f>
        <v>0</v>
      </c>
      <c r="W7" s="23" t="n">
        <f aca="false">0</f>
        <v>0</v>
      </c>
      <c r="X7" s="23" t="n">
        <f aca="false">0</f>
        <v>0</v>
      </c>
      <c r="Y7" s="23" t="n">
        <f aca="false">0</f>
        <v>0</v>
      </c>
    </row>
    <row r="8" customFormat="false" ht="15" hidden="false" customHeight="false" outlineLevel="0" collapsed="false">
      <c r="A8" s="5" t="s">
        <v>133</v>
      </c>
      <c r="B8" s="22" t="n">
        <f aca="false">Annahmen!$B$12/(1-Annahmen!$B$15*(1-B6))*((Annahmen!$B$21+B7*(Annahmen!$B$30-Annahmen!$B$21))+(Annahmen!$B$25+B7*(Annahmen!$B$34-Annahmen!$B$25))+(Annahmen!$B$29+B7*(Annahmen!$B$38-Annahmen!$B$29)))+Annahmen!$B$13/(1-Annahmen!$B$15*(1-B6))*((Annahmen!$B$22+B7*(Annahmen!$B$31-Annahmen!$B$22))+(Annahmen!$B$26+B7*(Annahmen!$B$35-Annahmen!$B$26))+(Annahmen!$B$29+B7*(Annahmen!$B$38-Annahmen!$B$29)))+Annahmen!$B$14/(1-Annahmen!$B$15*(1-B6))*((Annahmen!$B$23+B7*(Annahmen!$B$32-Annahmen!$B$23))+(Annahmen!$B$27+B7*(Annahmen!$B$36-Annahmen!$B$27))+(Annahmen!$B$29+B7*(Annahmen!$B$38-Annahmen!$B$29)))+Annahmen!$B$15*B6*((Annahmen!$B$24+B7*(Annahmen!$B$33-Annahmen!$B$24))+(Annahmen!$B$28+B7*(Annahmen!$B$37-Annahmen!$B$28))+(Annahmen!$B$29+B7*(Annahmen!$B$38-Annahmen!$B$29)))</f>
        <v>37.0833333333333</v>
      </c>
      <c r="C8" s="22" t="n">
        <f aca="false">Annahmen!$B$12/(1-Annahmen!$B$15*(1-C6))*((Annahmen!$B$21+C7*(Annahmen!$B$30-Annahmen!$B$21))+(Annahmen!$B$25+C7*(Annahmen!$B$34-Annahmen!$B$25))+(Annahmen!$B$29+C7*(Annahmen!$B$38-Annahmen!$B$29)))+Annahmen!$B$13/(1-Annahmen!$B$15*(1-C6))*((Annahmen!$B$22+C7*(Annahmen!$B$31-Annahmen!$B$22))+(Annahmen!$B$26+C7*(Annahmen!$B$35-Annahmen!$B$26))+(Annahmen!$B$29+C7*(Annahmen!$B$38-Annahmen!$B$29)))+Annahmen!$B$14/(1-Annahmen!$B$15*(1-C6))*((Annahmen!$B$23+C7*(Annahmen!$B$32-Annahmen!$B$23))+(Annahmen!$B$27+C7*(Annahmen!$B$36-Annahmen!$B$27))+(Annahmen!$B$29+C7*(Annahmen!$B$38-Annahmen!$B$29)))+Annahmen!$B$15*C6*((Annahmen!$B$24+C7*(Annahmen!$B$33-Annahmen!$B$24))+(Annahmen!$B$28+C7*(Annahmen!$B$37-Annahmen!$B$28))+(Annahmen!$B$29+C7*(Annahmen!$B$38-Annahmen!$B$29)))</f>
        <v>37.0833333333333</v>
      </c>
      <c r="D8" s="22" t="n">
        <f aca="false">Annahmen!$B$12/(1-Annahmen!$B$15*(1-D6))*((Annahmen!$B$21+D7*(Annahmen!$B$30-Annahmen!$B$21))+(Annahmen!$B$25+D7*(Annahmen!$B$34-Annahmen!$B$25))+(Annahmen!$B$29+D7*(Annahmen!$B$38-Annahmen!$B$29)))+Annahmen!$B$13/(1-Annahmen!$B$15*(1-D6))*((Annahmen!$B$22+D7*(Annahmen!$B$31-Annahmen!$B$22))+(Annahmen!$B$26+D7*(Annahmen!$B$35-Annahmen!$B$26))+(Annahmen!$B$29+D7*(Annahmen!$B$38-Annahmen!$B$29)))+Annahmen!$B$14/(1-Annahmen!$B$15*(1-D6))*((Annahmen!$B$23+D7*(Annahmen!$B$32-Annahmen!$B$23))+(Annahmen!$B$27+D7*(Annahmen!$B$36-Annahmen!$B$27))+(Annahmen!$B$29+D7*(Annahmen!$B$38-Annahmen!$B$29)))+Annahmen!$B$15*D6*((Annahmen!$B$24+D7*(Annahmen!$B$33-Annahmen!$B$24))+(Annahmen!$B$28+D7*(Annahmen!$B$37-Annahmen!$B$28))+(Annahmen!$B$29+D7*(Annahmen!$B$38-Annahmen!$B$29)))</f>
        <v>37.0833333333333</v>
      </c>
      <c r="E8" s="22" t="n">
        <f aca="false">Annahmen!$B$12/(1-Annahmen!$B$15*(1-E6))*((Annahmen!$B$21+E7*(Annahmen!$B$30-Annahmen!$B$21))+(Annahmen!$B$25+E7*(Annahmen!$B$34-Annahmen!$B$25))+(Annahmen!$B$29+E7*(Annahmen!$B$38-Annahmen!$B$29)))+Annahmen!$B$13/(1-Annahmen!$B$15*(1-E6))*((Annahmen!$B$22+E7*(Annahmen!$B$31-Annahmen!$B$22))+(Annahmen!$B$26+E7*(Annahmen!$B$35-Annahmen!$B$26))+(Annahmen!$B$29+E7*(Annahmen!$B$38-Annahmen!$B$29)))+Annahmen!$B$14/(1-Annahmen!$B$15*(1-E6))*((Annahmen!$B$23+E7*(Annahmen!$B$32-Annahmen!$B$23))+(Annahmen!$B$27+E7*(Annahmen!$B$36-Annahmen!$B$27))+(Annahmen!$B$29+E7*(Annahmen!$B$38-Annahmen!$B$29)))+Annahmen!$B$15*E6*((Annahmen!$B$24+E7*(Annahmen!$B$33-Annahmen!$B$24))+(Annahmen!$B$28+E7*(Annahmen!$B$37-Annahmen!$B$28))+(Annahmen!$B$29+E7*(Annahmen!$B$38-Annahmen!$B$29)))</f>
        <v>37.0833333333333</v>
      </c>
      <c r="F8" s="22" t="n">
        <f aca="false">Annahmen!$B$12/(1-Annahmen!$B$15*(1-F6))*((Annahmen!$B$21+F7*(Annahmen!$B$30-Annahmen!$B$21))+(Annahmen!$B$25+F7*(Annahmen!$B$34-Annahmen!$B$25))+(Annahmen!$B$29+F7*(Annahmen!$B$38-Annahmen!$B$29)))+Annahmen!$B$13/(1-Annahmen!$B$15*(1-F6))*((Annahmen!$B$22+F7*(Annahmen!$B$31-Annahmen!$B$22))+(Annahmen!$B$26+F7*(Annahmen!$B$35-Annahmen!$B$26))+(Annahmen!$B$29+F7*(Annahmen!$B$38-Annahmen!$B$29)))+Annahmen!$B$14/(1-Annahmen!$B$15*(1-F6))*((Annahmen!$B$23+F7*(Annahmen!$B$32-Annahmen!$B$23))+(Annahmen!$B$27+F7*(Annahmen!$B$36-Annahmen!$B$27))+(Annahmen!$B$29+F7*(Annahmen!$B$38-Annahmen!$B$29)))+Annahmen!$B$15*F6*((Annahmen!$B$24+F7*(Annahmen!$B$33-Annahmen!$B$24))+(Annahmen!$B$28+F7*(Annahmen!$B$37-Annahmen!$B$28))+(Annahmen!$B$29+F7*(Annahmen!$B$38-Annahmen!$B$29)))</f>
        <v>37.0833333333333</v>
      </c>
      <c r="G8" s="22" t="n">
        <f aca="false">Annahmen!$B$12/(1-Annahmen!$B$15*(1-G6))*((Annahmen!$B$21+G7*(Annahmen!$B$30-Annahmen!$B$21))+(Annahmen!$B$25+G7*(Annahmen!$B$34-Annahmen!$B$25))+(Annahmen!$B$29+G7*(Annahmen!$B$38-Annahmen!$B$29)))+Annahmen!$B$13/(1-Annahmen!$B$15*(1-G6))*((Annahmen!$B$22+G7*(Annahmen!$B$31-Annahmen!$B$22))+(Annahmen!$B$26+G7*(Annahmen!$B$35-Annahmen!$B$26))+(Annahmen!$B$29+G7*(Annahmen!$B$38-Annahmen!$B$29)))+Annahmen!$B$14/(1-Annahmen!$B$15*(1-G6))*((Annahmen!$B$23+G7*(Annahmen!$B$32-Annahmen!$B$23))+(Annahmen!$B$27+G7*(Annahmen!$B$36-Annahmen!$B$27))+(Annahmen!$B$29+G7*(Annahmen!$B$38-Annahmen!$B$29)))+Annahmen!$B$15*G6*((Annahmen!$B$24+G7*(Annahmen!$B$33-Annahmen!$B$24))+(Annahmen!$B$28+G7*(Annahmen!$B$37-Annahmen!$B$28))+(Annahmen!$B$29+G7*(Annahmen!$B$38-Annahmen!$B$29)))</f>
        <v>37.0833333333333</v>
      </c>
      <c r="H8" s="22" t="n">
        <f aca="false">Annahmen!$B$12/(1-Annahmen!$B$15*(1-H6))*((Annahmen!$B$21+H7*(Annahmen!$B$30-Annahmen!$B$21))+(Annahmen!$B$25+H7*(Annahmen!$B$34-Annahmen!$B$25))+(Annahmen!$B$29+H7*(Annahmen!$B$38-Annahmen!$B$29)))+Annahmen!$B$13/(1-Annahmen!$B$15*(1-H6))*((Annahmen!$B$22+H7*(Annahmen!$B$31-Annahmen!$B$22))+(Annahmen!$B$26+H7*(Annahmen!$B$35-Annahmen!$B$26))+(Annahmen!$B$29+H7*(Annahmen!$B$38-Annahmen!$B$29)))+Annahmen!$B$14/(1-Annahmen!$B$15*(1-H6))*((Annahmen!$B$23+H7*(Annahmen!$B$32-Annahmen!$B$23))+(Annahmen!$B$27+H7*(Annahmen!$B$36-Annahmen!$B$27))+(Annahmen!$B$29+H7*(Annahmen!$B$38-Annahmen!$B$29)))+Annahmen!$B$15*H6*((Annahmen!$B$24+H7*(Annahmen!$B$33-Annahmen!$B$24))+(Annahmen!$B$28+H7*(Annahmen!$B$37-Annahmen!$B$28))+(Annahmen!$B$29+H7*(Annahmen!$B$38-Annahmen!$B$29)))</f>
        <v>37.0833333333333</v>
      </c>
      <c r="I8" s="22" t="n">
        <f aca="false">Annahmen!$B$12/(1-Annahmen!$B$15*(1-I6))*((Annahmen!$B$21+I7*(Annahmen!$B$30-Annahmen!$B$21))+(Annahmen!$B$25+I7*(Annahmen!$B$34-Annahmen!$B$25))+(Annahmen!$B$29+I7*(Annahmen!$B$38-Annahmen!$B$29)))+Annahmen!$B$13/(1-Annahmen!$B$15*(1-I6))*((Annahmen!$B$22+I7*(Annahmen!$B$31-Annahmen!$B$22))+(Annahmen!$B$26+I7*(Annahmen!$B$35-Annahmen!$B$26))+(Annahmen!$B$29+I7*(Annahmen!$B$38-Annahmen!$B$29)))+Annahmen!$B$14/(1-Annahmen!$B$15*(1-I6))*((Annahmen!$B$23+I7*(Annahmen!$B$32-Annahmen!$B$23))+(Annahmen!$B$27+I7*(Annahmen!$B$36-Annahmen!$B$27))+(Annahmen!$B$29+I7*(Annahmen!$B$38-Annahmen!$B$29)))+Annahmen!$B$15*I6*((Annahmen!$B$24+I7*(Annahmen!$B$33-Annahmen!$B$24))+(Annahmen!$B$28+I7*(Annahmen!$B$37-Annahmen!$B$28))+(Annahmen!$B$29+I7*(Annahmen!$B$38-Annahmen!$B$29)))</f>
        <v>34.5625</v>
      </c>
      <c r="J8" s="22" t="n">
        <f aca="false">Annahmen!$B$12/(1-Annahmen!$B$15*(1-J6))*((Annahmen!$B$21+J7*(Annahmen!$B$30-Annahmen!$B$21))+(Annahmen!$B$25+J7*(Annahmen!$B$34-Annahmen!$B$25))+(Annahmen!$B$29+J7*(Annahmen!$B$38-Annahmen!$B$29)))+Annahmen!$B$13/(1-Annahmen!$B$15*(1-J6))*((Annahmen!$B$22+J7*(Annahmen!$B$31-Annahmen!$B$22))+(Annahmen!$B$26+J7*(Annahmen!$B$35-Annahmen!$B$26))+(Annahmen!$B$29+J7*(Annahmen!$B$38-Annahmen!$B$29)))+Annahmen!$B$14/(1-Annahmen!$B$15*(1-J6))*((Annahmen!$B$23+J7*(Annahmen!$B$32-Annahmen!$B$23))+(Annahmen!$B$27+J7*(Annahmen!$B$36-Annahmen!$B$27))+(Annahmen!$B$29+J7*(Annahmen!$B$38-Annahmen!$B$29)))+Annahmen!$B$15*J6*((Annahmen!$B$24+J7*(Annahmen!$B$33-Annahmen!$B$24))+(Annahmen!$B$28+J7*(Annahmen!$B$37-Annahmen!$B$28))+(Annahmen!$B$29+J7*(Annahmen!$B$38-Annahmen!$B$29)))</f>
        <v>34.5625</v>
      </c>
      <c r="K8" s="22" t="n">
        <f aca="false">Annahmen!$B$12/(1-Annahmen!$B$15*(1-K6))*((Annahmen!$B$21+K7*(Annahmen!$B$30-Annahmen!$B$21))+(Annahmen!$B$25+K7*(Annahmen!$B$34-Annahmen!$B$25))+(Annahmen!$B$29+K7*(Annahmen!$B$38-Annahmen!$B$29)))+Annahmen!$B$13/(1-Annahmen!$B$15*(1-K6))*((Annahmen!$B$22+K7*(Annahmen!$B$31-Annahmen!$B$22))+(Annahmen!$B$26+K7*(Annahmen!$B$35-Annahmen!$B$26))+(Annahmen!$B$29+K7*(Annahmen!$B$38-Annahmen!$B$29)))+Annahmen!$B$14/(1-Annahmen!$B$15*(1-K6))*((Annahmen!$B$23+K7*(Annahmen!$B$32-Annahmen!$B$23))+(Annahmen!$B$27+K7*(Annahmen!$B$36-Annahmen!$B$27))+(Annahmen!$B$29+K7*(Annahmen!$B$38-Annahmen!$B$29)))+Annahmen!$B$15*K6*((Annahmen!$B$24+K7*(Annahmen!$B$33-Annahmen!$B$24))+(Annahmen!$B$28+K7*(Annahmen!$B$37-Annahmen!$B$28))+(Annahmen!$B$29+K7*(Annahmen!$B$38-Annahmen!$B$29)))</f>
        <v>34.5625</v>
      </c>
      <c r="L8" s="22" t="n">
        <f aca="false">Annahmen!$B$12/(1-Annahmen!$B$15*(1-L6))*((Annahmen!$B$21+L7*(Annahmen!$B$30-Annahmen!$B$21))+(Annahmen!$B$25+L7*(Annahmen!$B$34-Annahmen!$B$25))+(Annahmen!$B$29+L7*(Annahmen!$B$38-Annahmen!$B$29)))+Annahmen!$B$13/(1-Annahmen!$B$15*(1-L6))*((Annahmen!$B$22+L7*(Annahmen!$B$31-Annahmen!$B$22))+(Annahmen!$B$26+L7*(Annahmen!$B$35-Annahmen!$B$26))+(Annahmen!$B$29+L7*(Annahmen!$B$38-Annahmen!$B$29)))+Annahmen!$B$14/(1-Annahmen!$B$15*(1-L6))*((Annahmen!$B$23+L7*(Annahmen!$B$32-Annahmen!$B$23))+(Annahmen!$B$27+L7*(Annahmen!$B$36-Annahmen!$B$27))+(Annahmen!$B$29+L7*(Annahmen!$B$38-Annahmen!$B$29)))+Annahmen!$B$15*L6*((Annahmen!$B$24+L7*(Annahmen!$B$33-Annahmen!$B$24))+(Annahmen!$B$28+L7*(Annahmen!$B$37-Annahmen!$B$28))+(Annahmen!$B$29+L7*(Annahmen!$B$38-Annahmen!$B$29)))</f>
        <v>34.5625</v>
      </c>
      <c r="M8" s="22" t="n">
        <f aca="false">Annahmen!$B$12/(1-Annahmen!$B$15*(1-M6))*((Annahmen!$B$21+M7*(Annahmen!$B$30-Annahmen!$B$21))+(Annahmen!$B$25+M7*(Annahmen!$B$34-Annahmen!$B$25))+(Annahmen!$B$29+M7*(Annahmen!$B$38-Annahmen!$B$29)))+Annahmen!$B$13/(1-Annahmen!$B$15*(1-M6))*((Annahmen!$B$22+M7*(Annahmen!$B$31-Annahmen!$B$22))+(Annahmen!$B$26+M7*(Annahmen!$B$35-Annahmen!$B$26))+(Annahmen!$B$29+M7*(Annahmen!$B$38-Annahmen!$B$29)))+Annahmen!$B$14/(1-Annahmen!$B$15*(1-M6))*((Annahmen!$B$23+M7*(Annahmen!$B$32-Annahmen!$B$23))+(Annahmen!$B$27+M7*(Annahmen!$B$36-Annahmen!$B$27))+(Annahmen!$B$29+M7*(Annahmen!$B$38-Annahmen!$B$29)))+Annahmen!$B$15*M6*((Annahmen!$B$24+M7*(Annahmen!$B$33-Annahmen!$B$24))+(Annahmen!$B$28+M7*(Annahmen!$B$37-Annahmen!$B$28))+(Annahmen!$B$29+M7*(Annahmen!$B$38-Annahmen!$B$29)))</f>
        <v>34.5625</v>
      </c>
      <c r="N8" s="22" t="n">
        <f aca="false">Annahmen!$B$12/(1-Annahmen!$B$15*(1-N6))*((Annahmen!$B$21+N7*(Annahmen!$B$30-Annahmen!$B$21))+(Annahmen!$B$25+N7*(Annahmen!$B$34-Annahmen!$B$25))+(Annahmen!$B$29+N7*(Annahmen!$B$38-Annahmen!$B$29)))+Annahmen!$B$13/(1-Annahmen!$B$15*(1-N6))*((Annahmen!$B$22+N7*(Annahmen!$B$31-Annahmen!$B$22))+(Annahmen!$B$26+N7*(Annahmen!$B$35-Annahmen!$B$26))+(Annahmen!$B$29+N7*(Annahmen!$B$38-Annahmen!$B$29)))+Annahmen!$B$14/(1-Annahmen!$B$15*(1-N6))*((Annahmen!$B$23+N7*(Annahmen!$B$32-Annahmen!$B$23))+(Annahmen!$B$27+N7*(Annahmen!$B$36-Annahmen!$B$27))+(Annahmen!$B$29+N7*(Annahmen!$B$38-Annahmen!$B$29)))+Annahmen!$B$15*N6*((Annahmen!$B$24+N7*(Annahmen!$B$33-Annahmen!$B$24))+(Annahmen!$B$28+N7*(Annahmen!$B$37-Annahmen!$B$28))+(Annahmen!$B$29+N7*(Annahmen!$B$38-Annahmen!$B$29)))</f>
        <v>34.5625</v>
      </c>
      <c r="O8" s="22" t="n">
        <f aca="false">Annahmen!$B$12/(1-Annahmen!$B$15*(1-O6))*((Annahmen!$B$21+O7*(Annahmen!$B$30-Annahmen!$B$21))+(Annahmen!$B$25+O7*(Annahmen!$B$34-Annahmen!$B$25))+(Annahmen!$B$29+O7*(Annahmen!$B$38-Annahmen!$B$29)))+Annahmen!$B$13/(1-Annahmen!$B$15*(1-O6))*((Annahmen!$B$22+O7*(Annahmen!$B$31-Annahmen!$B$22))+(Annahmen!$B$26+O7*(Annahmen!$B$35-Annahmen!$B$26))+(Annahmen!$B$29+O7*(Annahmen!$B$38-Annahmen!$B$29)))+Annahmen!$B$14/(1-Annahmen!$B$15*(1-O6))*((Annahmen!$B$23+O7*(Annahmen!$B$32-Annahmen!$B$23))+(Annahmen!$B$27+O7*(Annahmen!$B$36-Annahmen!$B$27))+(Annahmen!$B$29+O7*(Annahmen!$B$38-Annahmen!$B$29)))+Annahmen!$B$15*O6*((Annahmen!$B$24+O7*(Annahmen!$B$33-Annahmen!$B$24))+(Annahmen!$B$28+O7*(Annahmen!$B$37-Annahmen!$B$28))+(Annahmen!$B$29+O7*(Annahmen!$B$38-Annahmen!$B$29)))</f>
        <v>34.5625</v>
      </c>
      <c r="P8" s="22" t="n">
        <f aca="false">Annahmen!$B$12/(1-Annahmen!$B$15*(1-P6))*((Annahmen!$B$21+P7*(Annahmen!$B$30-Annahmen!$B$21))+(Annahmen!$B$25+P7*(Annahmen!$B$34-Annahmen!$B$25))+(Annahmen!$B$29+P7*(Annahmen!$B$38-Annahmen!$B$29)))+Annahmen!$B$13/(1-Annahmen!$B$15*(1-P6))*((Annahmen!$B$22+P7*(Annahmen!$B$31-Annahmen!$B$22))+(Annahmen!$B$26+P7*(Annahmen!$B$35-Annahmen!$B$26))+(Annahmen!$B$29+P7*(Annahmen!$B$38-Annahmen!$B$29)))+Annahmen!$B$14/(1-Annahmen!$B$15*(1-P6))*((Annahmen!$B$23+P7*(Annahmen!$B$32-Annahmen!$B$23))+(Annahmen!$B$27+P7*(Annahmen!$B$36-Annahmen!$B$27))+(Annahmen!$B$29+P7*(Annahmen!$B$38-Annahmen!$B$29)))+Annahmen!$B$15*P6*((Annahmen!$B$24+P7*(Annahmen!$B$33-Annahmen!$B$24))+(Annahmen!$B$28+P7*(Annahmen!$B$37-Annahmen!$B$28))+(Annahmen!$B$29+P7*(Annahmen!$B$38-Annahmen!$B$29)))</f>
        <v>34.5625</v>
      </c>
      <c r="Q8" s="22" t="n">
        <f aca="false">Annahmen!$B$12/(1-Annahmen!$B$15*(1-Q6))*((Annahmen!$B$21+Q7*(Annahmen!$B$30-Annahmen!$B$21))+(Annahmen!$B$25+Q7*(Annahmen!$B$34-Annahmen!$B$25))+(Annahmen!$B$29+Q7*(Annahmen!$B$38-Annahmen!$B$29)))+Annahmen!$B$13/(1-Annahmen!$B$15*(1-Q6))*((Annahmen!$B$22+Q7*(Annahmen!$B$31-Annahmen!$B$22))+(Annahmen!$B$26+Q7*(Annahmen!$B$35-Annahmen!$B$26))+(Annahmen!$B$29+Q7*(Annahmen!$B$38-Annahmen!$B$29)))+Annahmen!$B$14/(1-Annahmen!$B$15*(1-Q6))*((Annahmen!$B$23+Q7*(Annahmen!$B$32-Annahmen!$B$23))+(Annahmen!$B$27+Q7*(Annahmen!$B$36-Annahmen!$B$27))+(Annahmen!$B$29+Q7*(Annahmen!$B$38-Annahmen!$B$29)))+Annahmen!$B$15*Q6*((Annahmen!$B$24+Q7*(Annahmen!$B$33-Annahmen!$B$24))+(Annahmen!$B$28+Q7*(Annahmen!$B$37-Annahmen!$B$28))+(Annahmen!$B$29+Q7*(Annahmen!$B$38-Annahmen!$B$29)))</f>
        <v>34.5625</v>
      </c>
      <c r="R8" s="22" t="n">
        <f aca="false">Annahmen!$B$12/(1-Annahmen!$B$15*(1-R6))*((Annahmen!$B$21+R7*(Annahmen!$B$30-Annahmen!$B$21))+(Annahmen!$B$25+R7*(Annahmen!$B$34-Annahmen!$B$25))+(Annahmen!$B$29+R7*(Annahmen!$B$38-Annahmen!$B$29)))+Annahmen!$B$13/(1-Annahmen!$B$15*(1-R6))*((Annahmen!$B$22+R7*(Annahmen!$B$31-Annahmen!$B$22))+(Annahmen!$B$26+R7*(Annahmen!$B$35-Annahmen!$B$26))+(Annahmen!$B$29+R7*(Annahmen!$B$38-Annahmen!$B$29)))+Annahmen!$B$14/(1-Annahmen!$B$15*(1-R6))*((Annahmen!$B$23+R7*(Annahmen!$B$32-Annahmen!$B$23))+(Annahmen!$B$27+R7*(Annahmen!$B$36-Annahmen!$B$27))+(Annahmen!$B$29+R7*(Annahmen!$B$38-Annahmen!$B$29)))+Annahmen!$B$15*R6*((Annahmen!$B$24+R7*(Annahmen!$B$33-Annahmen!$B$24))+(Annahmen!$B$28+R7*(Annahmen!$B$37-Annahmen!$B$28))+(Annahmen!$B$29+R7*(Annahmen!$B$38-Annahmen!$B$29)))</f>
        <v>34.5625</v>
      </c>
      <c r="S8" s="22" t="n">
        <f aca="false">Annahmen!$B$12/(1-Annahmen!$B$15*(1-S6))*((Annahmen!$B$21+S7*(Annahmen!$B$30-Annahmen!$B$21))+(Annahmen!$B$25+S7*(Annahmen!$B$34-Annahmen!$B$25))+(Annahmen!$B$29+S7*(Annahmen!$B$38-Annahmen!$B$29)))+Annahmen!$B$13/(1-Annahmen!$B$15*(1-S6))*((Annahmen!$B$22+S7*(Annahmen!$B$31-Annahmen!$B$22))+(Annahmen!$B$26+S7*(Annahmen!$B$35-Annahmen!$B$26))+(Annahmen!$B$29+S7*(Annahmen!$B$38-Annahmen!$B$29)))+Annahmen!$B$14/(1-Annahmen!$B$15*(1-S6))*((Annahmen!$B$23+S7*(Annahmen!$B$32-Annahmen!$B$23))+(Annahmen!$B$27+S7*(Annahmen!$B$36-Annahmen!$B$27))+(Annahmen!$B$29+S7*(Annahmen!$B$38-Annahmen!$B$29)))+Annahmen!$B$15*S6*((Annahmen!$B$24+S7*(Annahmen!$B$33-Annahmen!$B$24))+(Annahmen!$B$28+S7*(Annahmen!$B$37-Annahmen!$B$28))+(Annahmen!$B$29+S7*(Annahmen!$B$38-Annahmen!$B$29)))</f>
        <v>34.5625</v>
      </c>
      <c r="T8" s="22" t="n">
        <f aca="false">Annahmen!$B$12/(1-Annahmen!$B$15*(1-T6))*((Annahmen!$B$21+T7*(Annahmen!$B$30-Annahmen!$B$21))+(Annahmen!$B$25+T7*(Annahmen!$B$34-Annahmen!$B$25))+(Annahmen!$B$29+T7*(Annahmen!$B$38-Annahmen!$B$29)))+Annahmen!$B$13/(1-Annahmen!$B$15*(1-T6))*((Annahmen!$B$22+T7*(Annahmen!$B$31-Annahmen!$B$22))+(Annahmen!$B$26+T7*(Annahmen!$B$35-Annahmen!$B$26))+(Annahmen!$B$29+T7*(Annahmen!$B$38-Annahmen!$B$29)))+Annahmen!$B$14/(1-Annahmen!$B$15*(1-T6))*((Annahmen!$B$23+T7*(Annahmen!$B$32-Annahmen!$B$23))+(Annahmen!$B$27+T7*(Annahmen!$B$36-Annahmen!$B$27))+(Annahmen!$B$29+T7*(Annahmen!$B$38-Annahmen!$B$29)))+Annahmen!$B$15*T6*((Annahmen!$B$24+T7*(Annahmen!$B$33-Annahmen!$B$24))+(Annahmen!$B$28+T7*(Annahmen!$B$37-Annahmen!$B$28))+(Annahmen!$B$29+T7*(Annahmen!$B$38-Annahmen!$B$29)))</f>
        <v>34.5625</v>
      </c>
      <c r="U8" s="22" t="n">
        <f aca="false">Annahmen!$B$12/(1-Annahmen!$B$15*(1-U6))*((Annahmen!$B$21+U7*(Annahmen!$B$30-Annahmen!$B$21))+(Annahmen!$B$25+U7*(Annahmen!$B$34-Annahmen!$B$25))+(Annahmen!$B$29+U7*(Annahmen!$B$38-Annahmen!$B$29)))+Annahmen!$B$13/(1-Annahmen!$B$15*(1-U6))*((Annahmen!$B$22+U7*(Annahmen!$B$31-Annahmen!$B$22))+(Annahmen!$B$26+U7*(Annahmen!$B$35-Annahmen!$B$26))+(Annahmen!$B$29+U7*(Annahmen!$B$38-Annahmen!$B$29)))+Annahmen!$B$14/(1-Annahmen!$B$15*(1-U6))*((Annahmen!$B$23+U7*(Annahmen!$B$32-Annahmen!$B$23))+(Annahmen!$B$27+U7*(Annahmen!$B$36-Annahmen!$B$27))+(Annahmen!$B$29+U7*(Annahmen!$B$38-Annahmen!$B$29)))+Annahmen!$B$15*U6*((Annahmen!$B$24+U7*(Annahmen!$B$33-Annahmen!$B$24))+(Annahmen!$B$28+U7*(Annahmen!$B$37-Annahmen!$B$28))+(Annahmen!$B$29+U7*(Annahmen!$B$38-Annahmen!$B$29)))</f>
        <v>34.5625</v>
      </c>
      <c r="V8" s="22" t="n">
        <f aca="false">Annahmen!$B$12/(1-Annahmen!$B$15*(1-V6))*((Annahmen!$B$21+V7*(Annahmen!$B$30-Annahmen!$B$21))+(Annahmen!$B$25+V7*(Annahmen!$B$34-Annahmen!$B$25))+(Annahmen!$B$29+V7*(Annahmen!$B$38-Annahmen!$B$29)))+Annahmen!$B$13/(1-Annahmen!$B$15*(1-V6))*((Annahmen!$B$22+V7*(Annahmen!$B$31-Annahmen!$B$22))+(Annahmen!$B$26+V7*(Annahmen!$B$35-Annahmen!$B$26))+(Annahmen!$B$29+V7*(Annahmen!$B$38-Annahmen!$B$29)))+Annahmen!$B$14/(1-Annahmen!$B$15*(1-V6))*((Annahmen!$B$23+V7*(Annahmen!$B$32-Annahmen!$B$23))+(Annahmen!$B$27+V7*(Annahmen!$B$36-Annahmen!$B$27))+(Annahmen!$B$29+V7*(Annahmen!$B$38-Annahmen!$B$29)))+Annahmen!$B$15*V6*((Annahmen!$B$24+V7*(Annahmen!$B$33-Annahmen!$B$24))+(Annahmen!$B$28+V7*(Annahmen!$B$37-Annahmen!$B$28))+(Annahmen!$B$29+V7*(Annahmen!$B$38-Annahmen!$B$29)))</f>
        <v>34.5625</v>
      </c>
      <c r="W8" s="22" t="n">
        <f aca="false">Annahmen!$B$12/(1-Annahmen!$B$15*(1-W6))*((Annahmen!$B$21+W7*(Annahmen!$B$30-Annahmen!$B$21))+(Annahmen!$B$25+W7*(Annahmen!$B$34-Annahmen!$B$25))+(Annahmen!$B$29+W7*(Annahmen!$B$38-Annahmen!$B$29)))+Annahmen!$B$13/(1-Annahmen!$B$15*(1-W6))*((Annahmen!$B$22+W7*(Annahmen!$B$31-Annahmen!$B$22))+(Annahmen!$B$26+W7*(Annahmen!$B$35-Annahmen!$B$26))+(Annahmen!$B$29+W7*(Annahmen!$B$38-Annahmen!$B$29)))+Annahmen!$B$14/(1-Annahmen!$B$15*(1-W6))*((Annahmen!$B$23+W7*(Annahmen!$B$32-Annahmen!$B$23))+(Annahmen!$B$27+W7*(Annahmen!$B$36-Annahmen!$B$27))+(Annahmen!$B$29+W7*(Annahmen!$B$38-Annahmen!$B$29)))+Annahmen!$B$15*W6*((Annahmen!$B$24+W7*(Annahmen!$B$33-Annahmen!$B$24))+(Annahmen!$B$28+W7*(Annahmen!$B$37-Annahmen!$B$28))+(Annahmen!$B$29+W7*(Annahmen!$B$38-Annahmen!$B$29)))</f>
        <v>34.5625</v>
      </c>
      <c r="X8" s="22" t="n">
        <f aca="false">Annahmen!$B$12/(1-Annahmen!$B$15*(1-X6))*((Annahmen!$B$21+X7*(Annahmen!$B$30-Annahmen!$B$21))+(Annahmen!$B$25+X7*(Annahmen!$B$34-Annahmen!$B$25))+(Annahmen!$B$29+X7*(Annahmen!$B$38-Annahmen!$B$29)))+Annahmen!$B$13/(1-Annahmen!$B$15*(1-X6))*((Annahmen!$B$22+X7*(Annahmen!$B$31-Annahmen!$B$22))+(Annahmen!$B$26+X7*(Annahmen!$B$35-Annahmen!$B$26))+(Annahmen!$B$29+X7*(Annahmen!$B$38-Annahmen!$B$29)))+Annahmen!$B$14/(1-Annahmen!$B$15*(1-X6))*((Annahmen!$B$23+X7*(Annahmen!$B$32-Annahmen!$B$23))+(Annahmen!$B$27+X7*(Annahmen!$B$36-Annahmen!$B$27))+(Annahmen!$B$29+X7*(Annahmen!$B$38-Annahmen!$B$29)))+Annahmen!$B$15*X6*((Annahmen!$B$24+X7*(Annahmen!$B$33-Annahmen!$B$24))+(Annahmen!$B$28+X7*(Annahmen!$B$37-Annahmen!$B$28))+(Annahmen!$B$29+X7*(Annahmen!$B$38-Annahmen!$B$29)))</f>
        <v>34.5625</v>
      </c>
      <c r="Y8" s="22" t="n">
        <f aca="false">Annahmen!$B$12/(1-Annahmen!$B$15*(1-Y6))*((Annahmen!$B$21+Y7*(Annahmen!$B$30-Annahmen!$B$21))+(Annahmen!$B$25+Y7*(Annahmen!$B$34-Annahmen!$B$25))+(Annahmen!$B$29+Y7*(Annahmen!$B$38-Annahmen!$B$29)))+Annahmen!$B$13/(1-Annahmen!$B$15*(1-Y6))*((Annahmen!$B$22+Y7*(Annahmen!$B$31-Annahmen!$B$22))+(Annahmen!$B$26+Y7*(Annahmen!$B$35-Annahmen!$B$26))+(Annahmen!$B$29+Y7*(Annahmen!$B$38-Annahmen!$B$29)))+Annahmen!$B$14/(1-Annahmen!$B$15*(1-Y6))*((Annahmen!$B$23+Y7*(Annahmen!$B$32-Annahmen!$B$23))+(Annahmen!$B$27+Y7*(Annahmen!$B$36-Annahmen!$B$27))+(Annahmen!$B$29+Y7*(Annahmen!$B$38-Annahmen!$B$29)))+Annahmen!$B$15*Y6*((Annahmen!$B$24+Y7*(Annahmen!$B$33-Annahmen!$B$24))+(Annahmen!$B$28+Y7*(Annahmen!$B$37-Annahmen!$B$28))+(Annahmen!$B$29+Y7*(Annahmen!$B$38-Annahmen!$B$29)))</f>
        <v>34.5625</v>
      </c>
    </row>
    <row r="9" customFormat="false" ht="15" hidden="false" customHeight="false" outlineLevel="0" collapsed="false">
      <c r="A9" s="5" t="s">
        <v>134</v>
      </c>
      <c r="B9" s="22" t="n">
        <f aca="false">0*(Annahmen!$B$25+B7*(Annahmen!$B$34-Annahmen!$B$25))+0*(Annahmen!$B$26+B7*(Annahmen!$B$35-Annahmen!$B$26))+0*(Annahmen!$B$27+B7*(Annahmen!$B$36-Annahmen!$B$27))+0*(Annahmen!$B$28+B7*(Annahmen!$B$37-Annahmen!$B$28))</f>
        <v>0</v>
      </c>
      <c r="C9" s="22" t="n">
        <f aca="false">B14*(Annahmen!$B$25+C7*(Annahmen!$B$34-Annahmen!$B$25))+B15*(Annahmen!$B$26+C7*(Annahmen!$B$35-Annahmen!$B$26))+B16*(Annahmen!$B$27+C7*(Annahmen!$B$36-Annahmen!$B$27))+B17*(Annahmen!$B$28+C7*(Annahmen!$B$37-Annahmen!$B$28))</f>
        <v>19.25</v>
      </c>
      <c r="D9" s="22" t="n">
        <f aca="false">C14*(Annahmen!$B$25+D7*(Annahmen!$B$34-Annahmen!$B$25))+C15*(Annahmen!$B$26+D7*(Annahmen!$B$35-Annahmen!$B$26))+C16*(Annahmen!$B$27+D7*(Annahmen!$B$36-Annahmen!$B$27))+C17*(Annahmen!$B$28+D7*(Annahmen!$B$37-Annahmen!$B$28))</f>
        <v>38.0575</v>
      </c>
      <c r="E9" s="22" t="n">
        <f aca="false">D14*(Annahmen!$B$25+E7*(Annahmen!$B$34-Annahmen!$B$25))+D15*(Annahmen!$B$26+E7*(Annahmen!$B$35-Annahmen!$B$26))+D16*(Annahmen!$B$27+E7*(Annahmen!$B$36-Annahmen!$B$27))+D17*(Annahmen!$B$28+E7*(Annahmen!$B$37-Annahmen!$B$28))</f>
        <v>60.013625</v>
      </c>
      <c r="F9" s="22" t="n">
        <f aca="false">E14*(Annahmen!$B$25+F7*(Annahmen!$B$34-Annahmen!$B$25))+E15*(Annahmen!$B$26+F7*(Annahmen!$B$35-Annahmen!$B$26))+E16*(Annahmen!$B$27+F7*(Annahmen!$B$36-Annahmen!$B$27))+E17*(Annahmen!$B$28+F7*(Annahmen!$B$37-Annahmen!$B$28))</f>
        <v>77.6667790308989</v>
      </c>
      <c r="G9" s="22" t="n">
        <f aca="false">F14*(Annahmen!$B$25+G7*(Annahmen!$B$34-Annahmen!$B$25))+F15*(Annahmen!$B$26+G7*(Annahmen!$B$35-Annahmen!$B$26))+F16*(Annahmen!$B$27+G7*(Annahmen!$B$36-Annahmen!$B$27))+F17*(Annahmen!$B$28+G7*(Annahmen!$B$37-Annahmen!$B$28))</f>
        <v>91.860927910749</v>
      </c>
      <c r="H9" s="22" t="n">
        <f aca="false">G14*(Annahmen!$B$25+H7*(Annahmen!$B$34-Annahmen!$B$25))+G15*(Annahmen!$B$26+H7*(Annahmen!$B$35-Annahmen!$B$26))+G16*(Annahmen!$B$27+H7*(Annahmen!$B$36-Annahmen!$B$27))+G17*(Annahmen!$B$28+H7*(Annahmen!$B$37-Annahmen!$B$28))</f>
        <v>103.274488726682</v>
      </c>
      <c r="I9" s="22" t="n">
        <f aca="false">H14*(Annahmen!$B$25+I7*(Annahmen!$B$34-Annahmen!$B$25))+H15*(Annahmen!$B$26+I7*(Annahmen!$B$35-Annahmen!$B$26))+H16*(Annahmen!$B$27+I7*(Annahmen!$B$36-Annahmen!$B$27))+H17*(Annahmen!$B$28+I7*(Annahmen!$B$37-Annahmen!$B$28))</f>
        <v>112.452803612147</v>
      </c>
      <c r="J9" s="22" t="n">
        <f aca="false">I14*(Annahmen!$B$25+J7*(Annahmen!$B$34-Annahmen!$B$25))+I15*(Annahmen!$B$26+J7*(Annahmen!$B$35-Annahmen!$B$26))+I16*(Annahmen!$B$27+J7*(Annahmen!$B$36-Annahmen!$B$27))+I17*(Annahmen!$B$28+J7*(Annahmen!$B$37-Annahmen!$B$28))</f>
        <v>120.803321597768</v>
      </c>
      <c r="K9" s="22" t="n">
        <f aca="false">J14*(Annahmen!$B$25+K7*(Annahmen!$B$34-Annahmen!$B$25))+J15*(Annahmen!$B$26+K7*(Annahmen!$B$35-Annahmen!$B$26))+J16*(Annahmen!$B$27+K7*(Annahmen!$B$36-Annahmen!$B$27))+J17*(Annahmen!$B$28+K7*(Annahmen!$B$37-Annahmen!$B$28))</f>
        <v>127.300057976015</v>
      </c>
      <c r="L9" s="22" t="n">
        <f aca="false">K14*(Annahmen!$B$25+L7*(Annahmen!$B$34-Annahmen!$B$25))+K15*(Annahmen!$B$26+L7*(Annahmen!$B$35-Annahmen!$B$26))+K16*(Annahmen!$B$27+L7*(Annahmen!$B$36-Annahmen!$B$27))+K17*(Annahmen!$B$28+L7*(Annahmen!$B$37-Annahmen!$B$28))</f>
        <v>132.353032578249</v>
      </c>
      <c r="M9" s="22" t="n">
        <f aca="false">L14*(Annahmen!$B$25+M7*(Annahmen!$B$34-Annahmen!$B$25))+L15*(Annahmen!$B$26+M7*(Annahmen!$B$35-Annahmen!$B$26))+L16*(Annahmen!$B$27+M7*(Annahmen!$B$36-Annahmen!$B$27))+L17*(Annahmen!$B$28+M7*(Annahmen!$B$37-Annahmen!$B$28))</f>
        <v>136.281652981167</v>
      </c>
      <c r="N9" s="22" t="n">
        <f aca="false">M14*(Annahmen!$B$25+N7*(Annahmen!$B$34-Annahmen!$B$25))+M15*(Annahmen!$B$26+N7*(Annahmen!$B$35-Annahmen!$B$26))+M16*(Annahmen!$B$27+N7*(Annahmen!$B$36-Annahmen!$B$27))+M17*(Annahmen!$B$28+N7*(Annahmen!$B$37-Annahmen!$B$28))</f>
        <v>139.334735832551</v>
      </c>
      <c r="O9" s="22" t="n">
        <f aca="false">N14*(Annahmen!$B$25+O7*(Annahmen!$B$34-Annahmen!$B$25))+N15*(Annahmen!$B$26+O7*(Annahmen!$B$35-Annahmen!$B$26))+N16*(Annahmen!$B$27+O7*(Annahmen!$B$36-Annahmen!$B$27))+N17*(Annahmen!$B$28+O7*(Annahmen!$B$37-Annahmen!$B$28))</f>
        <v>141.706104500361</v>
      </c>
      <c r="P9" s="22" t="n">
        <f aca="false">O14*(Annahmen!$B$25+P7*(Annahmen!$B$34-Annahmen!$B$25))+O15*(Annahmen!$B$26+P7*(Annahmen!$B$35-Annahmen!$B$26))+O16*(Annahmen!$B$27+P7*(Annahmen!$B$36-Annahmen!$B$27))+O17*(Annahmen!$B$28+P7*(Annahmen!$B$37-Annahmen!$B$28))</f>
        <v>143.546740441895</v>
      </c>
      <c r="Q9" s="22" t="n">
        <f aca="false">P14*(Annahmen!$B$25+Q7*(Annahmen!$B$34-Annahmen!$B$25))+P15*(Annahmen!$B$26+Q7*(Annahmen!$B$35-Annahmen!$B$26))+P16*(Annahmen!$B$27+Q7*(Annahmen!$B$36-Annahmen!$B$27))+P17*(Annahmen!$B$28+Q7*(Annahmen!$B$37-Annahmen!$B$28))</f>
        <v>144.974249737493</v>
      </c>
      <c r="R9" s="22" t="n">
        <f aca="false">Q14*(Annahmen!$B$25+R7*(Annahmen!$B$34-Annahmen!$B$25))+Q15*(Annahmen!$B$26+R7*(Annahmen!$B$35-Annahmen!$B$26))+Q16*(Annahmen!$B$27+R7*(Annahmen!$B$36-Annahmen!$B$27))+Q17*(Annahmen!$B$28+R7*(Annahmen!$B$37-Annahmen!$B$28))</f>
        <v>146.080237994805</v>
      </c>
      <c r="S9" s="22" t="n">
        <f aca="false">R14*(Annahmen!$B$25+S7*(Annahmen!$B$34-Annahmen!$B$25))+R15*(Annahmen!$B$26+S7*(Annahmen!$B$35-Annahmen!$B$26))+R16*(Annahmen!$B$27+S7*(Annahmen!$B$36-Annahmen!$B$27))+R17*(Annahmen!$B$28+S7*(Annahmen!$B$37-Annahmen!$B$28))</f>
        <v>146.936055762901</v>
      </c>
      <c r="T9" s="22" t="n">
        <f aca="false">S14*(Annahmen!$B$25+T7*(Annahmen!$B$34-Annahmen!$B$25))+S15*(Annahmen!$B$26+T7*(Annahmen!$B$35-Annahmen!$B$26))+S16*(Annahmen!$B$27+T7*(Annahmen!$B$36-Annahmen!$B$27))+S17*(Annahmen!$B$28+T7*(Annahmen!$B$37-Annahmen!$B$28))</f>
        <v>147.597274487485</v>
      </c>
      <c r="U9" s="22" t="n">
        <f aca="false">T14*(Annahmen!$B$25+U7*(Annahmen!$B$34-Annahmen!$B$25))+T15*(Annahmen!$B$26+U7*(Annahmen!$B$35-Annahmen!$B$26))+T16*(Annahmen!$B$27+U7*(Annahmen!$B$36-Annahmen!$B$27))+T17*(Annahmen!$B$28+U7*(Annahmen!$B$37-Annahmen!$B$28))</f>
        <v>148.107173490795</v>
      </c>
      <c r="V9" s="22" t="n">
        <f aca="false">U14*(Annahmen!$B$25+V7*(Annahmen!$B$34-Annahmen!$B$25))+U15*(Annahmen!$B$26+V7*(Annahmen!$B$35-Annahmen!$B$26))+U16*(Annahmen!$B$27+V7*(Annahmen!$B$36-Annahmen!$B$27))+U17*(Annahmen!$B$28+V7*(Annahmen!$B$37-Annahmen!$B$28))</f>
        <v>148.499456487936</v>
      </c>
      <c r="W9" s="22" t="n">
        <f aca="false">V14*(Annahmen!$B$25+W7*(Annahmen!$B$34-Annahmen!$B$25))+V15*(Annahmen!$B$26+W7*(Annahmen!$B$35-Annahmen!$B$26))+V16*(Annahmen!$B$27+W7*(Annahmen!$B$36-Annahmen!$B$27))+V17*(Annahmen!$B$28+W7*(Annahmen!$B$37-Annahmen!$B$28))</f>
        <v>148.800367871944</v>
      </c>
      <c r="X9" s="22" t="n">
        <f aca="false">W14*(Annahmen!$B$25+X7*(Annahmen!$B$34-Annahmen!$B$25))+W15*(Annahmen!$B$26+X7*(Annahmen!$B$35-Annahmen!$B$26))+W16*(Annahmen!$B$27+X7*(Annahmen!$B$36-Annahmen!$B$27))+W17*(Annahmen!$B$28+X7*(Annahmen!$B$37-Annahmen!$B$28))</f>
        <v>149.030341387639</v>
      </c>
      <c r="Y9" s="22" t="n">
        <f aca="false">X14*(Annahmen!$B$25+Y7*(Annahmen!$B$34-Annahmen!$B$25))+X15*(Annahmen!$B$26+Y7*(Annahmen!$B$35-Annahmen!$B$26))+X16*(Annahmen!$B$27+Y7*(Annahmen!$B$36-Annahmen!$B$27))+X17*(Annahmen!$B$28+Y7*(Annahmen!$B$37-Annahmen!$B$28))</f>
        <v>149.205284512369</v>
      </c>
    </row>
    <row r="10" customFormat="false" ht="15" hidden="false" customHeight="false" outlineLevel="0" collapsed="false">
      <c r="A10" s="5" t="s">
        <v>135</v>
      </c>
      <c r="B10" s="22" t="n">
        <f aca="false">MAX(0,(Annahmen!$B$41-B9)/B8)</f>
        <v>4.58426966292135</v>
      </c>
      <c r="C10" s="22" t="n">
        <f aca="false">MAX(0,(Annahmen!$B$41-C9)/C8)</f>
        <v>4.06516853932584</v>
      </c>
      <c r="D10" s="22" t="n">
        <f aca="false">MAX(0,(Annahmen!$B$41-D9)/D8)</f>
        <v>3.558</v>
      </c>
      <c r="E10" s="22" t="n">
        <f aca="false">MAX(0,(Annahmen!$B$41-E9)/E8)</f>
        <v>2.96592471910112</v>
      </c>
      <c r="F10" s="22" t="n">
        <f aca="false">MAX(0,(Annahmen!$B$41-F9)/F8)</f>
        <v>2.48988461040273</v>
      </c>
      <c r="G10" s="22" t="n">
        <f aca="false">MAX(0,(Annahmen!$B$41-G9)/G8)</f>
        <v>2.1071210451034</v>
      </c>
      <c r="H10" s="22" t="n">
        <f aca="false">MAX(0,(Annahmen!$B$41-H9)/H8)</f>
        <v>1.79933962984227</v>
      </c>
      <c r="I10" s="22" t="n">
        <f aca="false">MAX(0,(Annahmen!$B$41-I9)/I8)</f>
        <v>1.66501834033571</v>
      </c>
      <c r="J10" s="22" t="n">
        <f aca="false">MAX(0,(Annahmen!$B$41-J9)/J8)</f>
        <v>1.42341203333764</v>
      </c>
      <c r="K10" s="22" t="n">
        <f aca="false">MAX(0,(Annahmen!$B$41-K9)/K8)</f>
        <v>1.2354413605493</v>
      </c>
      <c r="L10" s="22" t="n">
        <f aca="false">MAX(0,(Annahmen!$B$41-L9)/L8)</f>
        <v>1.08924318037616</v>
      </c>
      <c r="M10" s="22" t="n">
        <f aca="false">MAX(0,(Annahmen!$B$41-M9)/M8)</f>
        <v>0.975576043944544</v>
      </c>
      <c r="N10" s="22" t="n">
        <f aca="false">MAX(0,(Annahmen!$B$41-N9)/N8)</f>
        <v>0.887240916237217</v>
      </c>
      <c r="O10" s="22" t="n">
        <f aca="false">MAX(0,(Annahmen!$B$41-O9)/O8)</f>
        <v>0.818629887873833</v>
      </c>
      <c r="P10" s="22" t="n">
        <f aca="false">MAX(0,(Annahmen!$B$41-P9)/P8)</f>
        <v>0.765374598426194</v>
      </c>
      <c r="Q10" s="22" t="n">
        <f aca="false">MAX(0,(Annahmen!$B$41-Q9)/Q8)</f>
        <v>0.724072340325689</v>
      </c>
      <c r="R10" s="22" t="n">
        <f aca="false">MAX(0,(Annahmen!$B$41-R9)/R8)</f>
        <v>0.69207268007798</v>
      </c>
      <c r="S10" s="22" t="n">
        <f aca="false">MAX(0,(Annahmen!$B$41-S9)/S8)</f>
        <v>0.667311225666522</v>
      </c>
      <c r="T10" s="22" t="n">
        <f aca="false">MAX(0,(Annahmen!$B$41-T9)/T8)</f>
        <v>0.648180123327754</v>
      </c>
      <c r="U10" s="22" t="n">
        <f aca="false">MAX(0,(Annahmen!$B$41-U9)/U8)</f>
        <v>0.633427168439935</v>
      </c>
      <c r="V10" s="22" t="n">
        <f aca="false">MAX(0,(Annahmen!$B$41-V9)/V8)</f>
        <v>0.622077208305644</v>
      </c>
      <c r="W10" s="22" t="n">
        <f aca="false">MAX(0,(Annahmen!$B$41-W9)/W8)</f>
        <v>0.613370911480833</v>
      </c>
      <c r="X10" s="22" t="n">
        <f aca="false">MAX(0,(Annahmen!$B$41-X9)/X8)</f>
        <v>0.606717066542096</v>
      </c>
      <c r="Y10" s="22" t="n">
        <f aca="false">MAX(0,(Annahmen!$B$41-Y9)/Y8)</f>
        <v>0.601655420980296</v>
      </c>
    </row>
    <row r="11" customFormat="false" ht="15" hidden="false" customHeight="false" outlineLevel="0" collapsed="false">
      <c r="A11" s="7" t="s">
        <v>136</v>
      </c>
      <c r="B11" s="21" t="n">
        <f aca="false">MIN(B5,B10)</f>
        <v>3</v>
      </c>
      <c r="C11" s="21" t="n">
        <f aca="false">MIN(C5,C10)</f>
        <v>3</v>
      </c>
      <c r="D11" s="21" t="n">
        <f aca="false">MIN(D5,D10)</f>
        <v>3.558</v>
      </c>
      <c r="E11" s="21" t="n">
        <f aca="false">MIN(E5,E10)</f>
        <v>2.96592471910112</v>
      </c>
      <c r="F11" s="21" t="n">
        <f aca="false">MIN(F5,F10)</f>
        <v>2.48988461040273</v>
      </c>
      <c r="G11" s="21" t="n">
        <f aca="false">MIN(G5,G10)</f>
        <v>2.1071210451034</v>
      </c>
      <c r="H11" s="21" t="n">
        <f aca="false">MIN(H5,H10)</f>
        <v>1.79933962984227</v>
      </c>
      <c r="I11" s="21" t="n">
        <f aca="false">MIN(I5,I10)</f>
        <v>1.66501834033571</v>
      </c>
      <c r="J11" s="21" t="n">
        <f aca="false">MIN(J5,J10)</f>
        <v>1.42341203333764</v>
      </c>
      <c r="K11" s="21" t="n">
        <f aca="false">MIN(K5,K10)</f>
        <v>1.2354413605493</v>
      </c>
      <c r="L11" s="21" t="n">
        <f aca="false">MIN(L5,L10)</f>
        <v>1.08924318037616</v>
      </c>
      <c r="M11" s="21" t="n">
        <f aca="false">MIN(M5,M10)</f>
        <v>0.975576043944544</v>
      </c>
      <c r="N11" s="21" t="n">
        <f aca="false">MIN(N5,N10)</f>
        <v>0.887240916237217</v>
      </c>
      <c r="O11" s="21" t="n">
        <f aca="false">MIN(O5,O10)</f>
        <v>0.818629887873833</v>
      </c>
      <c r="P11" s="21" t="n">
        <f aca="false">MIN(P5,P10)</f>
        <v>0.765374598426194</v>
      </c>
      <c r="Q11" s="21" t="n">
        <f aca="false">MIN(Q5,Q10)</f>
        <v>0.724072340325689</v>
      </c>
      <c r="R11" s="21" t="n">
        <f aca="false">MIN(R5,R10)</f>
        <v>0.69207268007798</v>
      </c>
      <c r="S11" s="21" t="n">
        <f aca="false">MIN(S5,S10)</f>
        <v>0.667311225666522</v>
      </c>
      <c r="T11" s="21" t="n">
        <f aca="false">MIN(T5,T10)</f>
        <v>0.648180123327754</v>
      </c>
      <c r="U11" s="21" t="n">
        <f aca="false">MIN(U5,U10)</f>
        <v>0.633427168439935</v>
      </c>
      <c r="V11" s="21" t="n">
        <f aca="false">MIN(V5,V10)</f>
        <v>0.622077208305644</v>
      </c>
      <c r="W11" s="21" t="n">
        <f aca="false">MIN(W5,W10)</f>
        <v>0.613370911480833</v>
      </c>
      <c r="X11" s="21" t="n">
        <f aca="false">MIN(X5,X10)</f>
        <v>0.606717066542096</v>
      </c>
      <c r="Y11" s="21" t="n">
        <f aca="false">MIN(Y5,Y10)</f>
        <v>0.601655420980296</v>
      </c>
    </row>
    <row r="12" customFormat="false" ht="15" hidden="false" customHeight="false" outlineLevel="0" collapsed="false">
      <c r="A12" s="5" t="s">
        <v>137</v>
      </c>
      <c r="B12" s="22" t="n">
        <f aca="false">0+B11</f>
        <v>3</v>
      </c>
      <c r="C12" s="22" t="n">
        <f aca="false">B12+C11</f>
        <v>6</v>
      </c>
      <c r="D12" s="22" t="n">
        <f aca="false">C12+D11</f>
        <v>9.558</v>
      </c>
      <c r="E12" s="22" t="n">
        <f aca="false">D12+E11</f>
        <v>12.5239247191011</v>
      </c>
      <c r="F12" s="22" t="n">
        <f aca="false">E12+F11</f>
        <v>15.0138093295039</v>
      </c>
      <c r="G12" s="22" t="n">
        <f aca="false">F12+G11</f>
        <v>17.1209303746073</v>
      </c>
      <c r="H12" s="22" t="n">
        <f aca="false">G12+H11</f>
        <v>18.9202700044495</v>
      </c>
      <c r="I12" s="22" t="n">
        <f aca="false">H12+I11</f>
        <v>20.5852883447852</v>
      </c>
      <c r="J12" s="22" t="n">
        <f aca="false">I12+J11</f>
        <v>22.0087003781229</v>
      </c>
      <c r="K12" s="22" t="n">
        <f aca="false">J12+K11</f>
        <v>23.2441417386722</v>
      </c>
      <c r="L12" s="22" t="n">
        <f aca="false">K12+L11</f>
        <v>24.3333849190483</v>
      </c>
      <c r="M12" s="22" t="n">
        <f aca="false">L12+M11</f>
        <v>25.3089609629929</v>
      </c>
      <c r="N12" s="22" t="n">
        <f aca="false">M12+N11</f>
        <v>26.1962018792301</v>
      </c>
      <c r="O12" s="22" t="n">
        <f aca="false">N12+O11</f>
        <v>27.0148317671039</v>
      </c>
      <c r="P12" s="22" t="n">
        <f aca="false">O12+P11</f>
        <v>27.7802063655301</v>
      </c>
      <c r="Q12" s="22" t="n">
        <f aca="false">P12+Q11</f>
        <v>28.5042787058558</v>
      </c>
      <c r="R12" s="22" t="n">
        <f aca="false">Q12+R11</f>
        <v>29.1963513859338</v>
      </c>
      <c r="S12" s="22" t="n">
        <f aca="false">R12+S11</f>
        <v>29.8636626116003</v>
      </c>
      <c r="T12" s="22" t="n">
        <f aca="false">S12+T11</f>
        <v>30.5118427349281</v>
      </c>
      <c r="U12" s="22" t="n">
        <f aca="false">T12+U11</f>
        <v>31.145269903368</v>
      </c>
      <c r="V12" s="22" t="n">
        <f aca="false">U12+V11</f>
        <v>31.7673471116736</v>
      </c>
      <c r="W12" s="22" t="n">
        <f aca="false">V12+W11</f>
        <v>32.3807180231545</v>
      </c>
      <c r="X12" s="22" t="n">
        <f aca="false">W12+X11</f>
        <v>32.9874350896966</v>
      </c>
      <c r="Y12" s="22" t="n">
        <f aca="false">X12+Y11</f>
        <v>33.5890905106769</v>
      </c>
    </row>
    <row r="13" customFormat="false" ht="15" hidden="false" customHeight="fals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customFormat="false" ht="15" hidden="false" customHeight="false" outlineLevel="0" collapsed="false">
      <c r="A14" s="5" t="s">
        <v>138</v>
      </c>
      <c r="B14" s="22" t="n">
        <f aca="false">0*(1-Annahmen!$B$17)+B11*Annahmen!$B$12/(1-Annahmen!$B$15*(1-B6))</f>
        <v>1</v>
      </c>
      <c r="C14" s="22" t="n">
        <f aca="false">B14*(1-Annahmen!$B$17)+C11*Annahmen!$B$12/(1-Annahmen!$B$15*(1-C6))</f>
        <v>1.99</v>
      </c>
      <c r="D14" s="22" t="n">
        <f aca="false">C14*(1-Annahmen!$B$17)+D11*Annahmen!$B$12/(1-Annahmen!$B$15*(1-D6))</f>
        <v>3.1561</v>
      </c>
      <c r="E14" s="22" t="n">
        <f aca="false">D14*(1-Annahmen!$B$17)+E11*Annahmen!$B$12/(1-Annahmen!$B$15*(1-E6))</f>
        <v>4.11318057303371</v>
      </c>
      <c r="F14" s="22" t="n">
        <f aca="false">E14*(1-Annahmen!$B$17)+F11*Annahmen!$B$12/(1-Annahmen!$B$15*(1-F6))</f>
        <v>4.90201030410428</v>
      </c>
      <c r="G14" s="22" t="n">
        <f aca="false">F14*(1-Annahmen!$B$17)+G11*Annahmen!$B$12/(1-Annahmen!$B$15*(1-G6))</f>
        <v>5.55536388276437</v>
      </c>
      <c r="H14" s="22" t="n">
        <f aca="false">G14*(1-Annahmen!$B$17)+H11*Annahmen!$B$12/(1-Annahmen!$B$15*(1-H6))</f>
        <v>6.09959012055082</v>
      </c>
      <c r="I14" s="22" t="n">
        <f aca="false">H14*(1-Annahmen!$B$17)+I11*Annahmen!$B$12/(1-Annahmen!$B$15*(1-I6))</f>
        <v>6.45484880442924</v>
      </c>
      <c r="J14" s="22" t="n">
        <f aca="false">I14*(1-Annahmen!$B$17)+J11*Annahmen!$B$12/(1-Annahmen!$B$15*(1-J6))</f>
        <v>6.74615332471935</v>
      </c>
      <c r="K14" s="22" t="n">
        <f aca="false">J14*(1-Annahmen!$B$17)+K11*Annahmen!$B$12/(1-Annahmen!$B$15*(1-K6))</f>
        <v>6.98755213160949</v>
      </c>
      <c r="L14" s="22" t="n">
        <f aca="false">K14*(1-Annahmen!$B$17)+L11*Annahmen!$B$12/(1-Annahmen!$B$15*(1-L6))</f>
        <v>7.18998740538743</v>
      </c>
      <c r="M14" s="22" t="n">
        <f aca="false">L14*(1-Annahmen!$B$17)+M11*Annahmen!$B$12/(1-Annahmen!$B$15*(1-M6))</f>
        <v>7.36198154231969</v>
      </c>
      <c r="N14" s="22" t="n">
        <f aca="false">M14*(1-Annahmen!$B$17)+N11*Annahmen!$B$12/(1-Annahmen!$B$15*(1-N6))</f>
        <v>7.5101719559558</v>
      </c>
      <c r="O14" s="22" t="n">
        <f aca="false">N14*(1-Annahmen!$B$17)+O11*Annahmen!$B$12/(1-Annahmen!$B$15*(1-O6))</f>
        <v>7.6397277083647</v>
      </c>
      <c r="P14" s="22" t="n">
        <f aca="false">O14*(1-Annahmen!$B$17)+P11*Annahmen!$B$12/(1-Annahmen!$B$15*(1-P6))</f>
        <v>7.7546740808876</v>
      </c>
      <c r="Q14" s="22" t="n">
        <f aca="false">P14*(1-Annahmen!$B$17)+Q11*Annahmen!$B$12/(1-Annahmen!$B$15*(1-Q6))</f>
        <v>7.85814542516015</v>
      </c>
      <c r="R14" s="22" t="n">
        <f aca="false">Q14*(1-Annahmen!$B$17)+R11*Annahmen!$B$12/(1-Annahmen!$B$15*(1-R6))</f>
        <v>7.95258214092804</v>
      </c>
      <c r="S14" s="22" t="n">
        <f aca="false">R14*(1-Annahmen!$B$17)+S11*Annahmen!$B$12/(1-Annahmen!$B$15*(1-S6))</f>
        <v>8.03988412593539</v>
      </c>
      <c r="T14" s="22" t="n">
        <f aca="false">S14*(1-Annahmen!$B$17)+T11*Annahmen!$B$12/(1-Annahmen!$B$15*(1-T6))</f>
        <v>8.12153031550797</v>
      </c>
      <c r="U14" s="22" t="n">
        <f aca="false">T14*(1-Annahmen!$B$17)+U11*Annahmen!$B$12/(1-Annahmen!$B$15*(1-U6))</f>
        <v>8.19867180446288</v>
      </c>
      <c r="V14" s="22" t="n">
        <f aca="false">U14*(1-Annahmen!$B$17)+V11*Annahmen!$B$12/(1-Annahmen!$B$15*(1-V6))</f>
        <v>8.27220438849466</v>
      </c>
      <c r="W14" s="22" t="n">
        <f aca="false">V14*(1-Annahmen!$B$17)+W11*Annahmen!$B$12/(1-Annahmen!$B$15*(1-W6))</f>
        <v>8.34282507247992</v>
      </c>
      <c r="X14" s="22" t="n">
        <f aca="false">W14*(1-Annahmen!$B$17)+X11*Annahmen!$B$12/(1-Annahmen!$B$15*(1-X6))</f>
        <v>8.41107608839065</v>
      </c>
      <c r="Y14" s="22" t="n">
        <f aca="false">X14*(1-Annahmen!$B$17)+Y11*Annahmen!$B$12/(1-Annahmen!$B$15*(1-Y6))</f>
        <v>8.47737918275182</v>
      </c>
    </row>
    <row r="15" customFormat="false" ht="15" hidden="false" customHeight="false" outlineLevel="0" collapsed="false">
      <c r="A15" s="5" t="s">
        <v>139</v>
      </c>
      <c r="B15" s="22" t="n">
        <f aca="false">0*(1-Annahmen!$B$18)+B11*Annahmen!$B$13/(1-Annahmen!$B$15*(1-B6))</f>
        <v>1</v>
      </c>
      <c r="C15" s="22" t="n">
        <f aca="false">B15*(1-Annahmen!$B$18)+C11*Annahmen!$B$13/(1-Annahmen!$B$15*(1-C6))</f>
        <v>1.98</v>
      </c>
      <c r="D15" s="22" t="n">
        <f aca="false">C15*(1-Annahmen!$B$18)+D11*Annahmen!$B$13/(1-Annahmen!$B$15*(1-D6))</f>
        <v>3.1264</v>
      </c>
      <c r="E15" s="22" t="n">
        <f aca="false">D15*(1-Annahmen!$B$18)+E11*Annahmen!$B$13/(1-Annahmen!$B$15*(1-E6))</f>
        <v>4.05251357303371</v>
      </c>
      <c r="F15" s="22" t="n">
        <f aca="false">E15*(1-Annahmen!$B$18)+F11*Annahmen!$B$13/(1-Annahmen!$B$15*(1-F6))</f>
        <v>4.80142483837394</v>
      </c>
      <c r="G15" s="22" t="n">
        <f aca="false">F15*(1-Annahmen!$B$18)+G11*Annahmen!$B$13/(1-Annahmen!$B$15*(1-G6))</f>
        <v>5.4077700233076</v>
      </c>
      <c r="H15" s="22" t="n">
        <f aca="false">G15*(1-Annahmen!$B$18)+H11*Annahmen!$B$13/(1-Annahmen!$B$15*(1-H6))</f>
        <v>5.89939449945554</v>
      </c>
      <c r="I15" s="22" t="n">
        <f aca="false">H15*(1-Annahmen!$B$18)+I11*Annahmen!$B$13/(1-Annahmen!$B$15*(1-I6))</f>
        <v>6.19766119455035</v>
      </c>
      <c r="J15" s="22" t="n">
        <f aca="false">I15*(1-Annahmen!$B$18)+J11*Annahmen!$B$13/(1-Annahmen!$B$15*(1-J6))</f>
        <v>6.42956097899376</v>
      </c>
      <c r="K15" s="22" t="n">
        <f aca="false">J15*(1-Annahmen!$B$18)+K11*Annahmen!$B$13/(1-Annahmen!$B$15*(1-K6))</f>
        <v>6.60983009955121</v>
      </c>
      <c r="L15" s="22" t="n">
        <f aca="false">K15*(1-Annahmen!$B$18)+L11*Annahmen!$B$13/(1-Annahmen!$B$15*(1-L6))</f>
        <v>6.74994429265422</v>
      </c>
      <c r="M15" s="22" t="n">
        <f aca="false">L15*(1-Annahmen!$B$18)+M11*Annahmen!$B$13/(1-Annahmen!$B$15*(1-M6))</f>
        <v>6.85883941778727</v>
      </c>
      <c r="N15" s="22" t="n">
        <f aca="false">M15*(1-Annahmen!$B$18)+N11*Annahmen!$B$13/(1-Annahmen!$B$15*(1-N6))</f>
        <v>6.94347285849083</v>
      </c>
      <c r="O15" s="22" t="n">
        <f aca="false">N15*(1-Annahmen!$B$18)+O11*Annahmen!$B$13/(1-Annahmen!$B$15*(1-O6))</f>
        <v>7.00926087328947</v>
      </c>
      <c r="P15" s="22" t="n">
        <f aca="false">O15*(1-Annahmen!$B$18)+P11*Annahmen!$B$13/(1-Annahmen!$B$15*(1-P6))</f>
        <v>7.06041930543023</v>
      </c>
      <c r="Q15" s="22" t="n">
        <f aca="false">P15*(1-Annahmen!$B$18)+Q11*Annahmen!$B$13/(1-Annahmen!$B$15*(1-Q6))</f>
        <v>7.10022900440305</v>
      </c>
      <c r="R15" s="22" t="n">
        <f aca="false">Q15*(1-Annahmen!$B$18)+R11*Annahmen!$B$13/(1-Annahmen!$B$15*(1-R6))</f>
        <v>7.13124259433448</v>
      </c>
      <c r="S15" s="22" t="n">
        <f aca="false">R15*(1-Annahmen!$B$18)+S11*Annahmen!$B$13/(1-Annahmen!$B$15*(1-S6))</f>
        <v>7.15544554886442</v>
      </c>
      <c r="T15" s="22" t="n">
        <f aca="false">S15*(1-Annahmen!$B$18)+T11*Annahmen!$B$13/(1-Annahmen!$B$15*(1-T6))</f>
        <v>7.17438166871907</v>
      </c>
      <c r="U15" s="22" t="n">
        <f aca="false">T15*(1-Annahmen!$B$18)+U11*Annahmen!$B$13/(1-Annahmen!$B$15*(1-U6))</f>
        <v>7.18925082745468</v>
      </c>
      <c r="V15" s="22" t="n">
        <f aca="false">U15*(1-Annahmen!$B$18)+V11*Annahmen!$B$13/(1-Annahmen!$B$15*(1-V6))</f>
        <v>7.20098511298199</v>
      </c>
      <c r="W15" s="22" t="n">
        <f aca="false">V15*(1-Annahmen!$B$18)+W11*Annahmen!$B$13/(1-Annahmen!$B$15*(1-W6))</f>
        <v>7.21030813859256</v>
      </c>
      <c r="X15" s="22" t="n">
        <f aca="false">W15*(1-Annahmen!$B$18)+X11*Annahmen!$B$13/(1-Annahmen!$B$15*(1-X6))</f>
        <v>7.21778124245623</v>
      </c>
      <c r="Y15" s="22" t="n">
        <f aca="false">X15*(1-Annahmen!$B$18)+Y11*Annahmen!$B$13/(1-Annahmen!$B$15*(1-Y6))</f>
        <v>7.22383947285218</v>
      </c>
    </row>
    <row r="16" customFormat="false" ht="15" hidden="false" customHeight="false" outlineLevel="0" collapsed="false">
      <c r="A16" s="5" t="s">
        <v>140</v>
      </c>
      <c r="B16" s="22" t="n">
        <f aca="false">0*(1-Annahmen!$B$19)+B11*Annahmen!$B$14/(1-Annahmen!$B$15*(1-B6))</f>
        <v>1</v>
      </c>
      <c r="C16" s="22" t="n">
        <f aca="false">B16*(1-Annahmen!$B$19)+C11*Annahmen!$B$14/(1-Annahmen!$B$15*(1-C6))</f>
        <v>1.97</v>
      </c>
      <c r="D16" s="22" t="n">
        <f aca="false">C16*(1-Annahmen!$B$19)+D11*Annahmen!$B$14/(1-Annahmen!$B$15*(1-D6))</f>
        <v>3.0969</v>
      </c>
      <c r="E16" s="22" t="n">
        <f aca="false">D16*(1-Annahmen!$B$19)+E11*Annahmen!$B$14/(1-Annahmen!$B$15*(1-E6))</f>
        <v>3.99263457303371</v>
      </c>
      <c r="F16" s="22" t="n">
        <f aca="false">E16*(1-Annahmen!$B$19)+F11*Annahmen!$B$14/(1-Annahmen!$B$15*(1-F6))</f>
        <v>4.7028170726436</v>
      </c>
      <c r="G16" s="22" t="n">
        <f aca="false">F16*(1-Annahmen!$B$19)+G11*Annahmen!$B$14/(1-Annahmen!$B$15*(1-G6))</f>
        <v>5.26410624216543</v>
      </c>
      <c r="H16" s="22" t="n">
        <f aca="false">G16*(1-Annahmen!$B$19)+H11*Annahmen!$B$14/(1-Annahmen!$B$15*(1-H6))</f>
        <v>5.70596293151456</v>
      </c>
      <c r="I16" s="22" t="n">
        <f aca="false">H16*(1-Annahmen!$B$19)+I11*Annahmen!$B$14/(1-Annahmen!$B$15*(1-I6))</f>
        <v>5.95103862865305</v>
      </c>
      <c r="J16" s="22" t="n">
        <f aca="false">I16*(1-Annahmen!$B$19)+J11*Annahmen!$B$14/(1-Annahmen!$B$15*(1-J6))</f>
        <v>6.12836047812787</v>
      </c>
      <c r="K16" s="22" t="n">
        <f aca="false">J16*(1-Annahmen!$B$19)+K11*Annahmen!$B$14/(1-Annahmen!$B$15*(1-K6))</f>
        <v>6.25337000392136</v>
      </c>
      <c r="L16" s="22" t="n">
        <f aca="false">K16*(1-Annahmen!$B$19)+L11*Annahmen!$B$14/(1-Annahmen!$B$15*(1-L6))</f>
        <v>6.33807969889775</v>
      </c>
      <c r="M16" s="22" t="n">
        <f aca="false">L16*(1-Annahmen!$B$19)+M11*Annahmen!$B$14/(1-Annahmen!$B$15*(1-M6))</f>
        <v>6.39183131891696</v>
      </c>
      <c r="N16" s="22" t="n">
        <f aca="false">M16*(1-Annahmen!$B$19)+N11*Annahmen!$B$14/(1-Annahmen!$B$15*(1-N6))</f>
        <v>6.42188660840875</v>
      </c>
      <c r="O16" s="22" t="n">
        <f aca="false">N16*(1-Annahmen!$B$19)+O11*Annahmen!$B$14/(1-Annahmen!$B$15*(1-O6))</f>
        <v>6.43388748212495</v>
      </c>
      <c r="P16" s="22" t="n">
        <f aca="false">O16*(1-Annahmen!$B$19)+P11*Annahmen!$B$14/(1-Annahmen!$B$15*(1-P6))</f>
        <v>6.43221450726775</v>
      </c>
      <c r="Q16" s="22" t="n">
        <f aca="false">P16*(1-Annahmen!$B$19)+Q11*Annahmen!$B$14/(1-Annahmen!$B$15*(1-Q6))</f>
        <v>6.42026615713114</v>
      </c>
      <c r="R16" s="22" t="n">
        <f aca="false">Q16*(1-Annahmen!$B$19)+R11*Annahmen!$B$14/(1-Annahmen!$B$15*(1-R6))</f>
        <v>6.4006763424367</v>
      </c>
      <c r="S16" s="22" t="n">
        <f aca="false">R16*(1-Annahmen!$B$19)+S11*Annahmen!$B$14/(1-Annahmen!$B$15*(1-S6))</f>
        <v>6.37548385858023</v>
      </c>
      <c r="T16" s="22" t="n">
        <f aca="false">S16*(1-Annahmen!$B$19)+T11*Annahmen!$B$14/(1-Annahmen!$B$15*(1-T6))</f>
        <v>6.34626437365476</v>
      </c>
      <c r="U16" s="22" t="n">
        <f aca="false">T16*(1-Annahmen!$B$19)+U11*Annahmen!$B$14/(1-Annahmen!$B$15*(1-U6))</f>
        <v>6.3142332345551</v>
      </c>
      <c r="V16" s="22" t="n">
        <f aca="false">U16*(1-Annahmen!$B$19)+V11*Annahmen!$B$14/(1-Annahmen!$B$15*(1-V6))</f>
        <v>6.28032553959486</v>
      </c>
      <c r="W16" s="22" t="n">
        <f aca="false">V16*(1-Annahmen!$B$19)+W11*Annahmen!$B$14/(1-Annahmen!$B$15*(1-W6))</f>
        <v>6.24525850127722</v>
      </c>
      <c r="X16" s="22" t="n">
        <f aca="false">W16*(1-Annahmen!$B$19)+X11*Annahmen!$B$14/(1-Annahmen!$B$15*(1-X6))</f>
        <v>6.20958001287443</v>
      </c>
      <c r="Y16" s="22" t="n">
        <f aca="false">X16*(1-Annahmen!$B$19)+Y11*Annahmen!$B$14/(1-Annahmen!$B$15*(1-Y6))</f>
        <v>6.17370646773327</v>
      </c>
    </row>
    <row r="17" customFormat="false" ht="15" hidden="false" customHeight="false" outlineLevel="0" collapsed="false">
      <c r="A17" s="5" t="s">
        <v>141</v>
      </c>
      <c r="B17" s="22" t="n">
        <f aca="false">0*(1-Annahmen!$B$20)+B11*Annahmen!$B$15*B6</f>
        <v>0</v>
      </c>
      <c r="C17" s="22" t="n">
        <f aca="false">B17*(1-Annahmen!$B$20)+C11*Annahmen!$B$15*C6</f>
        <v>0</v>
      </c>
      <c r="D17" s="22" t="n">
        <f aca="false">C17*(1-Annahmen!$B$20)+D11*Annahmen!$B$15*D6</f>
        <v>0</v>
      </c>
      <c r="E17" s="22" t="n">
        <f aca="false">D17*(1-Annahmen!$B$20)+E11*Annahmen!$B$15*E6</f>
        <v>0</v>
      </c>
      <c r="F17" s="22" t="n">
        <f aca="false">E17*(1-Annahmen!$B$20)+F11*Annahmen!$B$15*F6</f>
        <v>0</v>
      </c>
      <c r="G17" s="22" t="n">
        <f aca="false">F17*(1-Annahmen!$B$20)+G11*Annahmen!$B$15*G6</f>
        <v>0</v>
      </c>
      <c r="H17" s="22" t="n">
        <f aca="false">G17*(1-Annahmen!$B$20)+H11*Annahmen!$B$15*H6</f>
        <v>0</v>
      </c>
      <c r="I17" s="22" t="n">
        <f aca="false">H17*(1-Annahmen!$B$20)+I11*Annahmen!$B$15*I6</f>
        <v>0.416254585083928</v>
      </c>
      <c r="J17" s="22" t="n">
        <f aca="false">I17*(1-Annahmen!$B$20)+J11*Annahmen!$B$15*J6</f>
        <v>0.751294864164142</v>
      </c>
      <c r="K17" s="22" t="n">
        <f aca="false">J17*(1-Annahmen!$B$20)+K11*Annahmen!$B$15*K6</f>
        <v>1.02259046109326</v>
      </c>
      <c r="L17" s="22" t="n">
        <f aca="false">K17*(1-Annahmen!$B$20)+L11*Annahmen!$B$15*L6</f>
        <v>1.24377173313264</v>
      </c>
      <c r="M17" s="22" t="n">
        <f aca="false">L17*(1-Annahmen!$B$20)+M11*Annahmen!$B$15*M6</f>
        <v>1.42547715746214</v>
      </c>
      <c r="N17" s="22" t="n">
        <f aca="false">M17*(1-Annahmen!$B$20)+N11*Annahmen!$B$15*N6</f>
        <v>1.57601352864834</v>
      </c>
      <c r="O17" s="22" t="n">
        <f aca="false">N17*(1-Annahmen!$B$20)+O11*Annahmen!$B$15*O6</f>
        <v>1.70187032418438</v>
      </c>
      <c r="P17" s="22" t="n">
        <f aca="false">O17*(1-Annahmen!$B$20)+P11*Annahmen!$B$15*P6</f>
        <v>1.80812045758171</v>
      </c>
      <c r="Q17" s="22" t="n">
        <f aca="false">P17*(1-Annahmen!$B$20)+Q11*Annahmen!$B$15*Q6</f>
        <v>1.89873251978405</v>
      </c>
      <c r="R17" s="22" t="n">
        <f aca="false">Q17*(1-Annahmen!$B$20)+R11*Annahmen!$B$15*R6</f>
        <v>1.97681406381434</v>
      </c>
      <c r="S17" s="22" t="n">
        <f aca="false">R17*(1-Annahmen!$B$20)+S11*Annahmen!$B$15*S6</f>
        <v>2.04480116704025</v>
      </c>
      <c r="T17" s="22" t="n">
        <f aca="false">S17*(1-Annahmen!$B$20)+T11*Annahmen!$B$15*T6</f>
        <v>2.10460613952018</v>
      </c>
      <c r="U17" s="22" t="n">
        <f aca="false">T17*(1-Annahmen!$B$20)+U11*Annahmen!$B$15*U6</f>
        <v>2.15773262465415</v>
      </c>
      <c r="V17" s="22" t="n">
        <f aca="false">U17*(1-Annahmen!$B$20)+V11*Annahmen!$B$15*V6</f>
        <v>2.20536529549786</v>
      </c>
      <c r="W17" s="22" t="n">
        <f aca="false">V17*(1-Annahmen!$B$20)+W11*Annahmen!$B$15*W6</f>
        <v>2.24843975859317</v>
      </c>
      <c r="X17" s="22" t="n">
        <f aca="false">W17*(1-Annahmen!$B$20)+X11*Annahmen!$B$15*X6</f>
        <v>2.28769703729904</v>
      </c>
      <c r="Y17" s="22" t="n">
        <f aca="false">X17*(1-Annahmen!$B$20)+Y11*Annahmen!$B$15*Y6</f>
        <v>2.32372604067916</v>
      </c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customFormat="false" ht="15" hidden="false" customHeight="false" outlineLevel="0" collapsed="false">
      <c r="A19" s="7" t="s">
        <v>142</v>
      </c>
      <c r="B19" s="25" t="n">
        <f aca="false">B14*Annahmen!$B$6+B15*Annahmen!$B$7+B16*Annahmen!$B$9+B17*Annahmen!$B$10</f>
        <v>1779</v>
      </c>
      <c r="C19" s="25" t="n">
        <f aca="false">C14*Annahmen!$B$6+C15*Annahmen!$B$7+C16*Annahmen!$B$9+C17*Annahmen!$B$10</f>
        <v>3517.91</v>
      </c>
      <c r="D19" s="25" t="n">
        <f aca="false">D14*Annahmen!$B$6+D15*Annahmen!$B$7+D16*Annahmen!$B$9+D17*Annahmen!$B$10</f>
        <v>5548.5749</v>
      </c>
      <c r="E19" s="25" t="n">
        <f aca="false">E14*Annahmen!$B$6+E15*Annahmen!$B$7+E16*Annahmen!$B$9+E17*Annahmen!$B$10</f>
        <v>7182.47058942697</v>
      </c>
      <c r="F19" s="25" t="n">
        <f aca="false">F14*Annahmen!$B$6+F15*Annahmen!$B$7+F16*Annahmen!$B$9+F17*Annahmen!$B$10</f>
        <v>8497.39914642286</v>
      </c>
      <c r="G19" s="25" t="n">
        <f aca="false">G14*Annahmen!$B$6+G15*Annahmen!$B$7+G16*Annahmen!$B$9+G17*Annahmen!$B$10</f>
        <v>9555.90168157281</v>
      </c>
      <c r="H19" s="25" t="n">
        <f aca="false">H14*Annahmen!$B$6+H15*Annahmen!$B$7+H16*Annahmen!$B$9+H17*Annahmen!$B$10</f>
        <v>10408.2518970577</v>
      </c>
      <c r="I19" s="25" t="n">
        <f aca="false">I14*Annahmen!$B$6+I15*Annahmen!$B$7+I16*Annahmen!$B$9+I17*Annahmen!$B$10</f>
        <v>11243.9825981364</v>
      </c>
      <c r="J19" s="25" t="n">
        <f aca="false">J14*Annahmen!$B$6+J15*Annahmen!$B$7+J16*Annahmen!$B$9+J17*Annahmen!$B$10</f>
        <v>11896.9325357244</v>
      </c>
      <c r="K19" s="25" t="n">
        <f aca="false">K14*Annahmen!$B$6+K15*Annahmen!$B$7+K16*Annahmen!$B$9+K17*Annahmen!$B$10</f>
        <v>12407.4377818498</v>
      </c>
      <c r="L19" s="25" t="n">
        <f aca="false">L14*Annahmen!$B$6+L15*Annahmen!$B$7+L16*Annahmen!$B$9+L17*Annahmen!$B$10</f>
        <v>12806.9239518319</v>
      </c>
      <c r="M19" s="25" t="n">
        <f aca="false">M14*Annahmen!$B$6+M15*Annahmen!$B$7+M16*Annahmen!$B$9+M17*Annahmen!$B$10</f>
        <v>13119.8748738188</v>
      </c>
      <c r="N19" s="25" t="n">
        <f aca="false">N14*Annahmen!$B$6+N15*Annahmen!$B$7+N16*Annahmen!$B$9+N17*Annahmen!$B$10</f>
        <v>13365.3662905698</v>
      </c>
      <c r="O19" s="25" t="n">
        <f aca="false">O14*Annahmen!$B$6+O15*Annahmen!$B$7+O16*Annahmen!$B$9+O17*Annahmen!$B$10</f>
        <v>13558.2606979023</v>
      </c>
      <c r="P19" s="25" t="n">
        <f aca="false">P14*Annahmen!$B$6+P15*Annahmen!$B$7+P16*Annahmen!$B$9+P17*Annahmen!$B$10</f>
        <v>13710.138190312</v>
      </c>
      <c r="Q19" s="25" t="n">
        <f aca="false">Q14*Annahmen!$B$6+Q15*Annahmen!$B$7+Q16*Annahmen!$B$9+Q17*Annahmen!$B$10</f>
        <v>13830.0216419133</v>
      </c>
      <c r="R19" s="25" t="n">
        <f aca="false">R14*Annahmen!$B$6+R15*Annahmen!$B$7+R16*Annahmen!$B$9+R17*Annahmen!$B$10</f>
        <v>13924.9416634625</v>
      </c>
      <c r="S19" s="25" t="n">
        <f aca="false">S14*Annahmen!$B$6+S15*Annahmen!$B$7+S16*Annahmen!$B$9+S17*Annahmen!$B$10</f>
        <v>14000.3767362617</v>
      </c>
      <c r="T19" s="25" t="n">
        <f aca="false">T14*Annahmen!$B$6+T15*Annahmen!$B$7+T16*Annahmen!$B$9+T17*Annahmen!$B$10</f>
        <v>14060.5961020672</v>
      </c>
      <c r="U19" s="25" t="n">
        <f aca="false">U14*Annahmen!$B$6+U15*Annahmen!$B$7+U16*Annahmen!$B$9+U17*Annahmen!$B$10</f>
        <v>14108.9268946244</v>
      </c>
      <c r="V19" s="25" t="n">
        <f aca="false">V14*Annahmen!$B$6+V15*Annahmen!$B$7+V16*Annahmen!$B$9+V17*Annahmen!$B$10</f>
        <v>14147.9622512873</v>
      </c>
      <c r="W19" s="25" t="n">
        <f aca="false">W14*Annahmen!$B$6+W15*Annahmen!$B$7+W16*Annahmen!$B$9+W17*Annahmen!$B$10</f>
        <v>14179.723444879</v>
      </c>
      <c r="X19" s="25" t="n">
        <f aca="false">X14*Annahmen!$B$6+X15*Annahmen!$B$7+X16*Annahmen!$B$9+X17*Annahmen!$B$10</f>
        <v>14205.7861947828</v>
      </c>
      <c r="Y19" s="25" t="n">
        <f aca="false">Y14*Annahmen!$B$6+Y15*Annahmen!$B$7+Y16*Annahmen!$B$9+Y17*Annahmen!$B$10</f>
        <v>14227.3790716618</v>
      </c>
    </row>
    <row r="20" customFormat="false" ht="15" hidden="false" customHeight="false" outlineLevel="0" collapsed="false">
      <c r="A20" s="5" t="s">
        <v>143</v>
      </c>
      <c r="B20" s="26" t="n">
        <f aca="false">B11*(Annahmen!$B$12/(1-Annahmen!$B$15*(1-B6))*Annahmen!$B$5+Annahmen!$B$13/(1-Annahmen!$B$15*(1-B6))*Annahmen!$B$8+Annahmen!$B$15*B6*Annahmen!$B$11)</f>
        <v>3690</v>
      </c>
      <c r="C20" s="26" t="n">
        <f aca="false">C11*(Annahmen!$B$12/(1-Annahmen!$B$15*(1-C6))*Annahmen!$B$5+Annahmen!$B$13/(1-Annahmen!$B$15*(1-C6))*Annahmen!$B$8+Annahmen!$B$15*C6*Annahmen!$B$11)</f>
        <v>3690</v>
      </c>
      <c r="D20" s="26" t="n">
        <f aca="false">D11*(Annahmen!$B$12/(1-Annahmen!$B$15*(1-D6))*Annahmen!$B$5+Annahmen!$B$13/(1-Annahmen!$B$15*(1-D6))*Annahmen!$B$8+Annahmen!$B$15*D6*Annahmen!$B$11)</f>
        <v>4376.34</v>
      </c>
      <c r="E20" s="26" t="n">
        <f aca="false">E11*(Annahmen!$B$12/(1-Annahmen!$B$15*(1-E6))*Annahmen!$B$5+Annahmen!$B$13/(1-Annahmen!$B$15*(1-E6))*Annahmen!$B$8+Annahmen!$B$15*E6*Annahmen!$B$11)</f>
        <v>3648.08740449438</v>
      </c>
      <c r="F20" s="26" t="n">
        <f aca="false">F11*(Annahmen!$B$12/(1-Annahmen!$B$15*(1-F6))*Annahmen!$B$5+Annahmen!$B$13/(1-Annahmen!$B$15*(1-F6))*Annahmen!$B$8+Annahmen!$B$15*F6*Annahmen!$B$11)</f>
        <v>3062.55807079535</v>
      </c>
      <c r="G20" s="26" t="n">
        <f aca="false">G11*(Annahmen!$B$12/(1-Annahmen!$B$15*(1-G6))*Annahmen!$B$5+Annahmen!$B$13/(1-Annahmen!$B$15*(1-G6))*Annahmen!$B$8+Annahmen!$B$15*G6*Annahmen!$B$11)</f>
        <v>2591.75888547718</v>
      </c>
      <c r="H20" s="26" t="n">
        <f aca="false">H11*(Annahmen!$B$12/(1-Annahmen!$B$15*(1-H6))*Annahmen!$B$5+Annahmen!$B$13/(1-Annahmen!$B$15*(1-H6))*Annahmen!$B$8+Annahmen!$B$15*H6*Annahmen!$B$11)</f>
        <v>2213.18774470599</v>
      </c>
      <c r="I20" s="26" t="n">
        <f aca="false">I11*(Annahmen!$B$12/(1-Annahmen!$B$15*(1-I6))*Annahmen!$B$5+Annahmen!$B$13/(1-Annahmen!$B$15*(1-I6))*Annahmen!$B$8+Annahmen!$B$15*I6*Annahmen!$B$11)</f>
        <v>2156.19875073474</v>
      </c>
      <c r="J20" s="26" t="n">
        <f aca="false">J11*(Annahmen!$B$12/(1-Annahmen!$B$15*(1-J6))*Annahmen!$B$5+Annahmen!$B$13/(1-Annahmen!$B$15*(1-J6))*Annahmen!$B$8+Annahmen!$B$15*J6*Annahmen!$B$11)</f>
        <v>1843.31858317225</v>
      </c>
      <c r="K20" s="26" t="n">
        <f aca="false">K11*(Annahmen!$B$12/(1-Annahmen!$B$15*(1-K6))*Annahmen!$B$5+Annahmen!$B$13/(1-Annahmen!$B$15*(1-K6))*Annahmen!$B$8+Annahmen!$B$15*K6*Annahmen!$B$11)</f>
        <v>1599.89656191134</v>
      </c>
      <c r="L20" s="26" t="n">
        <f aca="false">L11*(Annahmen!$B$12/(1-Annahmen!$B$15*(1-L6))*Annahmen!$B$5+Annahmen!$B$13/(1-Annahmen!$B$15*(1-L6))*Annahmen!$B$8+Annahmen!$B$15*L6*Annahmen!$B$11)</f>
        <v>1410.56991858713</v>
      </c>
      <c r="M20" s="26" t="n">
        <f aca="false">M11*(Annahmen!$B$12/(1-Annahmen!$B$15*(1-M6))*Annahmen!$B$5+Annahmen!$B$13/(1-Annahmen!$B$15*(1-M6))*Annahmen!$B$8+Annahmen!$B$15*M6*Annahmen!$B$11)</f>
        <v>1263.37097690818</v>
      </c>
      <c r="N20" s="26" t="n">
        <f aca="false">N11*(Annahmen!$B$12/(1-Annahmen!$B$15*(1-N6))*Annahmen!$B$5+Annahmen!$B$13/(1-Annahmen!$B$15*(1-N6))*Annahmen!$B$8+Annahmen!$B$15*N6*Annahmen!$B$11)</f>
        <v>1148.9769865272</v>
      </c>
      <c r="O20" s="26" t="n">
        <f aca="false">O11*(Annahmen!$B$12/(1-Annahmen!$B$15*(1-O6))*Annahmen!$B$5+Annahmen!$B$13/(1-Annahmen!$B$15*(1-O6))*Annahmen!$B$8+Annahmen!$B$15*O6*Annahmen!$B$11)</f>
        <v>1060.12570479661</v>
      </c>
      <c r="P20" s="26" t="n">
        <f aca="false">P11*(Annahmen!$B$12/(1-Annahmen!$B$15*(1-P6))*Annahmen!$B$5+Annahmen!$B$13/(1-Annahmen!$B$15*(1-P6))*Annahmen!$B$8+Annahmen!$B$15*P6*Annahmen!$B$11)</f>
        <v>991.160104961922</v>
      </c>
      <c r="Q20" s="26" t="n">
        <f aca="false">Q11*(Annahmen!$B$12/(1-Annahmen!$B$15*(1-Q6))*Annahmen!$B$5+Annahmen!$B$13/(1-Annahmen!$B$15*(1-Q6))*Annahmen!$B$8+Annahmen!$B$15*Q6*Annahmen!$B$11)</f>
        <v>937.673680721767</v>
      </c>
      <c r="R20" s="26" t="n">
        <f aca="false">R11*(Annahmen!$B$12/(1-Annahmen!$B$15*(1-R6))*Annahmen!$B$5+Annahmen!$B$13/(1-Annahmen!$B$15*(1-R6))*Annahmen!$B$8+Annahmen!$B$15*R6*Annahmen!$B$11)</f>
        <v>896.234120700984</v>
      </c>
      <c r="S20" s="26" t="n">
        <f aca="false">S11*(Annahmen!$B$12/(1-Annahmen!$B$15*(1-S6))*Annahmen!$B$5+Annahmen!$B$13/(1-Annahmen!$B$15*(1-S6))*Annahmen!$B$8+Annahmen!$B$15*S6*Annahmen!$B$11)</f>
        <v>864.168037238146</v>
      </c>
      <c r="T20" s="26" t="n">
        <f aca="false">T11*(Annahmen!$B$12/(1-Annahmen!$B$15*(1-T6))*Annahmen!$B$5+Annahmen!$B$13/(1-Annahmen!$B$15*(1-T6))*Annahmen!$B$8+Annahmen!$B$15*T6*Annahmen!$B$11)</f>
        <v>839.393259709442</v>
      </c>
      <c r="U20" s="26" t="n">
        <f aca="false">U11*(Annahmen!$B$12/(1-Annahmen!$B$15*(1-U6))*Annahmen!$B$5+Annahmen!$B$13/(1-Annahmen!$B$15*(1-U6))*Annahmen!$B$8+Annahmen!$B$15*U6*Annahmen!$B$11)</f>
        <v>820.288183129715</v>
      </c>
      <c r="V20" s="26" t="n">
        <f aca="false">V11*(Annahmen!$B$12/(1-Annahmen!$B$15*(1-V6))*Annahmen!$B$5+Annahmen!$B$13/(1-Annahmen!$B$15*(1-V6))*Annahmen!$B$8+Annahmen!$B$15*V6*Annahmen!$B$11)</f>
        <v>805.589984755809</v>
      </c>
      <c r="W20" s="26" t="n">
        <f aca="false">W11*(Annahmen!$B$12/(1-Annahmen!$B$15*(1-W6))*Annahmen!$B$5+Annahmen!$B$13/(1-Annahmen!$B$15*(1-W6))*Annahmen!$B$8+Annahmen!$B$15*W6*Annahmen!$B$11)</f>
        <v>794.315330367679</v>
      </c>
      <c r="X20" s="26" t="n">
        <f aca="false">X11*(Annahmen!$B$12/(1-Annahmen!$B$15*(1-X6))*Annahmen!$B$5+Annahmen!$B$13/(1-Annahmen!$B$15*(1-X6))*Annahmen!$B$8+Annahmen!$B$15*X6*Annahmen!$B$11)</f>
        <v>785.698601172015</v>
      </c>
      <c r="Y20" s="26" t="n">
        <f aca="false">Y11*(Annahmen!$B$12/(1-Annahmen!$B$15*(1-Y6))*Annahmen!$B$5+Annahmen!$B$13/(1-Annahmen!$B$15*(1-Y6))*Annahmen!$B$8+Annahmen!$B$15*Y6*Annahmen!$B$11)</f>
        <v>779.143770169484</v>
      </c>
    </row>
    <row r="21" customFormat="false" ht="15" hidden="false" customHeight="false" outlineLevel="0" collapsed="false">
      <c r="A21" s="7" t="s">
        <v>144</v>
      </c>
      <c r="B21" s="25" t="n">
        <f aca="false">B19+B20</f>
        <v>5469</v>
      </c>
      <c r="C21" s="25" t="n">
        <f aca="false">C19+C20</f>
        <v>7207.91</v>
      </c>
      <c r="D21" s="25" t="n">
        <f aca="false">D19+D20</f>
        <v>9924.9149</v>
      </c>
      <c r="E21" s="25" t="n">
        <f aca="false">E19+E20</f>
        <v>10830.5579939214</v>
      </c>
      <c r="F21" s="25" t="n">
        <f aca="false">F19+F20</f>
        <v>11559.9572172182</v>
      </c>
      <c r="G21" s="25" t="n">
        <f aca="false">G19+G20</f>
        <v>12147.66056705</v>
      </c>
      <c r="H21" s="25" t="n">
        <f aca="false">H19+H20</f>
        <v>12621.4396417637</v>
      </c>
      <c r="I21" s="25" t="n">
        <f aca="false">I19+I20</f>
        <v>13400.1813488712</v>
      </c>
      <c r="J21" s="25" t="n">
        <f aca="false">J19+J20</f>
        <v>13740.2511188966</v>
      </c>
      <c r="K21" s="25" t="n">
        <f aca="false">K19+K20</f>
        <v>14007.3343437611</v>
      </c>
      <c r="L21" s="25" t="n">
        <f aca="false">L19+L20</f>
        <v>14217.493870419</v>
      </c>
      <c r="M21" s="25" t="n">
        <f aca="false">M19+M20</f>
        <v>14383.245850727</v>
      </c>
      <c r="N21" s="25" t="n">
        <f aca="false">N19+N20</f>
        <v>14514.343277097</v>
      </c>
      <c r="O21" s="25" t="n">
        <f aca="false">O19+O20</f>
        <v>14618.3864026989</v>
      </c>
      <c r="P21" s="25" t="n">
        <f aca="false">P19+P20</f>
        <v>14701.2982952739</v>
      </c>
      <c r="Q21" s="25" t="n">
        <f aca="false">Q19+Q20</f>
        <v>14767.695322635</v>
      </c>
      <c r="R21" s="25" t="n">
        <f aca="false">R19+R20</f>
        <v>14821.1757841635</v>
      </c>
      <c r="S21" s="25" t="n">
        <f aca="false">S19+S20</f>
        <v>14864.5447734999</v>
      </c>
      <c r="T21" s="25" t="n">
        <f aca="false">T19+T20</f>
        <v>14899.9893617766</v>
      </c>
      <c r="U21" s="25" t="n">
        <f aca="false">U19+U20</f>
        <v>14929.2150777541</v>
      </c>
      <c r="V21" s="25" t="n">
        <f aca="false">V19+V20</f>
        <v>14953.5522360431</v>
      </c>
      <c r="W21" s="25" t="n">
        <f aca="false">W19+W20</f>
        <v>14974.0387752467</v>
      </c>
      <c r="X21" s="25" t="n">
        <f aca="false">X19+X20</f>
        <v>14991.4847959548</v>
      </c>
      <c r="Y21" s="25" t="n">
        <f aca="false">Y19+Y20</f>
        <v>15006.5228418313</v>
      </c>
    </row>
    <row r="22" customFormat="false" ht="15" hidden="false" customHeight="false" outlineLevel="0" collapsed="false">
      <c r="A22" s="5" t="s">
        <v>145</v>
      </c>
      <c r="B22" s="26" t="n">
        <f aca="false">Annahmen!$B$42+Annahmen!$B$43+B7*Annahmen!$B$40</f>
        <v>355</v>
      </c>
      <c r="C22" s="26" t="n">
        <f aca="false">Annahmen!$B$42+Annahmen!$B$43+C7*Annahmen!$B$40</f>
        <v>355</v>
      </c>
      <c r="D22" s="26" t="n">
        <f aca="false">Annahmen!$B$42+Annahmen!$B$43+D7*Annahmen!$B$40</f>
        <v>355</v>
      </c>
      <c r="E22" s="26" t="n">
        <f aca="false">Annahmen!$B$42+Annahmen!$B$43+E7*Annahmen!$B$40</f>
        <v>355</v>
      </c>
      <c r="F22" s="26" t="n">
        <f aca="false">Annahmen!$B$42+Annahmen!$B$43+F7*Annahmen!$B$40</f>
        <v>355</v>
      </c>
      <c r="G22" s="26" t="n">
        <f aca="false">Annahmen!$B$42+Annahmen!$B$43+G7*Annahmen!$B$40</f>
        <v>355</v>
      </c>
      <c r="H22" s="26" t="n">
        <f aca="false">Annahmen!$B$42+Annahmen!$B$43+H7*Annahmen!$B$40</f>
        <v>355</v>
      </c>
      <c r="I22" s="26" t="n">
        <f aca="false">Annahmen!$B$42+Annahmen!$B$43+I7*Annahmen!$B$40</f>
        <v>355</v>
      </c>
      <c r="J22" s="26" t="n">
        <f aca="false">Annahmen!$B$42+Annahmen!$B$43+J7*Annahmen!$B$40</f>
        <v>355</v>
      </c>
      <c r="K22" s="26" t="n">
        <f aca="false">Annahmen!$B$42+Annahmen!$B$43+K7*Annahmen!$B$40</f>
        <v>355</v>
      </c>
      <c r="L22" s="26" t="n">
        <f aca="false">Annahmen!$B$42+Annahmen!$B$43+L7*Annahmen!$B$40</f>
        <v>355</v>
      </c>
      <c r="M22" s="26" t="n">
        <f aca="false">Annahmen!$B$42+Annahmen!$B$43+M7*Annahmen!$B$40</f>
        <v>355</v>
      </c>
      <c r="N22" s="26" t="n">
        <f aca="false">Annahmen!$B$42+Annahmen!$B$43+N7*Annahmen!$B$40</f>
        <v>355</v>
      </c>
      <c r="O22" s="26" t="n">
        <f aca="false">Annahmen!$B$42+Annahmen!$B$43+O7*Annahmen!$B$40</f>
        <v>355</v>
      </c>
      <c r="P22" s="26" t="n">
        <f aca="false">Annahmen!$B$42+Annahmen!$B$43+P7*Annahmen!$B$40</f>
        <v>355</v>
      </c>
      <c r="Q22" s="26" t="n">
        <f aca="false">Annahmen!$B$42+Annahmen!$B$43+Q7*Annahmen!$B$40</f>
        <v>355</v>
      </c>
      <c r="R22" s="26" t="n">
        <f aca="false">Annahmen!$B$42+Annahmen!$B$43+R7*Annahmen!$B$40</f>
        <v>355</v>
      </c>
      <c r="S22" s="26" t="n">
        <f aca="false">Annahmen!$B$42+Annahmen!$B$43+S7*Annahmen!$B$40</f>
        <v>355</v>
      </c>
      <c r="T22" s="26" t="n">
        <f aca="false">Annahmen!$B$42+Annahmen!$B$43+T7*Annahmen!$B$40</f>
        <v>355</v>
      </c>
      <c r="U22" s="26" t="n">
        <f aca="false">Annahmen!$B$42+Annahmen!$B$43+U7*Annahmen!$B$40</f>
        <v>355</v>
      </c>
      <c r="V22" s="26" t="n">
        <f aca="false">Annahmen!$B$42+Annahmen!$B$43+V7*Annahmen!$B$40</f>
        <v>355</v>
      </c>
      <c r="W22" s="26" t="n">
        <f aca="false">Annahmen!$B$42+Annahmen!$B$43+W7*Annahmen!$B$40</f>
        <v>355</v>
      </c>
      <c r="X22" s="26" t="n">
        <f aca="false">Annahmen!$B$42+Annahmen!$B$43+X7*Annahmen!$B$40</f>
        <v>355</v>
      </c>
      <c r="Y22" s="26" t="n">
        <f aca="false">Annahmen!$B$42+Annahmen!$B$43+Y7*Annahmen!$B$40</f>
        <v>355</v>
      </c>
    </row>
    <row r="23" customFormat="false" ht="15" hidden="false" customHeight="false" outlineLevel="0" collapsed="false">
      <c r="A23" s="7" t="s">
        <v>146</v>
      </c>
      <c r="B23" s="25" t="n">
        <f aca="false">B21-B22</f>
        <v>5114</v>
      </c>
      <c r="C23" s="25" t="n">
        <f aca="false">C21-C22</f>
        <v>6852.91</v>
      </c>
      <c r="D23" s="25" t="n">
        <f aca="false">D21-D22</f>
        <v>9569.9149</v>
      </c>
      <c r="E23" s="25" t="n">
        <f aca="false">E21-E22</f>
        <v>10475.5579939214</v>
      </c>
      <c r="F23" s="25" t="n">
        <f aca="false">F21-F22</f>
        <v>11204.9572172182</v>
      </c>
      <c r="G23" s="25" t="n">
        <f aca="false">G21-G22</f>
        <v>11792.66056705</v>
      </c>
      <c r="H23" s="25" t="n">
        <f aca="false">H21-H22</f>
        <v>12266.4396417637</v>
      </c>
      <c r="I23" s="25" t="n">
        <f aca="false">I21-I22</f>
        <v>13045.1813488712</v>
      </c>
      <c r="J23" s="25" t="n">
        <f aca="false">J21-J22</f>
        <v>13385.2511188966</v>
      </c>
      <c r="K23" s="25" t="n">
        <f aca="false">K21-K22</f>
        <v>13652.3343437611</v>
      </c>
      <c r="L23" s="25" t="n">
        <f aca="false">L21-L22</f>
        <v>13862.493870419</v>
      </c>
      <c r="M23" s="25" t="n">
        <f aca="false">M21-M22</f>
        <v>14028.245850727</v>
      </c>
      <c r="N23" s="25" t="n">
        <f aca="false">N21-N22</f>
        <v>14159.343277097</v>
      </c>
      <c r="O23" s="25" t="n">
        <f aca="false">O21-O22</f>
        <v>14263.3864026989</v>
      </c>
      <c r="P23" s="25" t="n">
        <f aca="false">P21-P22</f>
        <v>14346.2982952739</v>
      </c>
      <c r="Q23" s="25" t="n">
        <f aca="false">Q21-Q22</f>
        <v>14412.695322635</v>
      </c>
      <c r="R23" s="25" t="n">
        <f aca="false">R21-R22</f>
        <v>14466.1757841635</v>
      </c>
      <c r="S23" s="25" t="n">
        <f aca="false">S21-S22</f>
        <v>14509.5447734999</v>
      </c>
      <c r="T23" s="25" t="n">
        <f aca="false">T21-T22</f>
        <v>14544.9893617766</v>
      </c>
      <c r="U23" s="25" t="n">
        <f aca="false">U21-U22</f>
        <v>14574.2150777541</v>
      </c>
      <c r="V23" s="25" t="n">
        <f aca="false">V21-V22</f>
        <v>14598.5522360431</v>
      </c>
      <c r="W23" s="25" t="n">
        <f aca="false">W21-W22</f>
        <v>14619.0387752467</v>
      </c>
      <c r="X23" s="25" t="n">
        <f aca="false">X21-X22</f>
        <v>14636.4847959548</v>
      </c>
      <c r="Y23" s="25" t="n">
        <f aca="false">Y21-Y22</f>
        <v>14651.5228418313</v>
      </c>
    </row>
    <row r="24" customFormat="false" ht="15" hidden="false" customHeight="false" outlineLevel="0" collapsed="false">
      <c r="A24" s="7" t="s">
        <v>147</v>
      </c>
      <c r="B24" s="16" t="n">
        <f aca="false">B23</f>
        <v>5114</v>
      </c>
      <c r="C24" s="16" t="n">
        <f aca="false">B24+C23</f>
        <v>11966.91</v>
      </c>
      <c r="D24" s="16" t="n">
        <f aca="false">C24+D23</f>
        <v>21536.8249</v>
      </c>
      <c r="E24" s="16" t="n">
        <f aca="false">D24+E23</f>
        <v>32012.3828939214</v>
      </c>
      <c r="F24" s="16" t="n">
        <f aca="false">E24+F23</f>
        <v>43217.3401111396</v>
      </c>
      <c r="G24" s="16" t="n">
        <f aca="false">F24+G23</f>
        <v>55010.0006781896</v>
      </c>
      <c r="H24" s="16" t="n">
        <f aca="false">G24+H23</f>
        <v>67276.4403199532</v>
      </c>
      <c r="I24" s="16" t="n">
        <f aca="false">H24+I23</f>
        <v>80321.6216688244</v>
      </c>
      <c r="J24" s="16" t="n">
        <f aca="false">I24+J23</f>
        <v>93706.872787721</v>
      </c>
      <c r="K24" s="16" t="n">
        <f aca="false">J24+K23</f>
        <v>107359.207131482</v>
      </c>
      <c r="L24" s="16" t="n">
        <f aca="false">K24+L23</f>
        <v>121221.701001901</v>
      </c>
      <c r="M24" s="16" t="n">
        <f aca="false">L24+M23</f>
        <v>135249.946852628</v>
      </c>
      <c r="N24" s="16" t="n">
        <f aca="false">M24+N23</f>
        <v>149409.290129725</v>
      </c>
      <c r="O24" s="16" t="n">
        <f aca="false">N24+O23</f>
        <v>163672.676532424</v>
      </c>
      <c r="P24" s="16" t="n">
        <f aca="false">O24+P23</f>
        <v>178018.974827698</v>
      </c>
      <c r="Q24" s="16" t="n">
        <f aca="false">P24+Q23</f>
        <v>192431.670150333</v>
      </c>
      <c r="R24" s="16" t="n">
        <f aca="false">Q24+R23</f>
        <v>206897.845934496</v>
      </c>
      <c r="S24" s="16" t="n">
        <f aca="false">R24+S23</f>
        <v>221407.390707996</v>
      </c>
      <c r="T24" s="16" t="n">
        <f aca="false">S24+T23</f>
        <v>235952.380069773</v>
      </c>
      <c r="U24" s="16" t="n">
        <f aca="false">T24+U23</f>
        <v>250526.595147527</v>
      </c>
      <c r="V24" s="16" t="n">
        <f aca="false">U24+V23</f>
        <v>265125.14738357</v>
      </c>
      <c r="W24" s="16" t="n">
        <f aca="false">V24+W23</f>
        <v>279744.186158817</v>
      </c>
      <c r="X24" s="16" t="n">
        <f aca="false">W24+X23</f>
        <v>294380.670954772</v>
      </c>
      <c r="Y24" s="16" t="n">
        <f aca="false">X24+Y23</f>
        <v>309032.193796603</v>
      </c>
    </row>
    <row r="25" customFormat="false" ht="15" hidden="false" customHeight="false" outlineLevel="0" collapsed="false">
      <c r="A25" s="5" t="s">
        <v>148</v>
      </c>
      <c r="B25" s="22" t="n">
        <f aca="false">B9+B11*B8</f>
        <v>111.25</v>
      </c>
      <c r="C25" s="22" t="n">
        <f aca="false">C9+C11*C8</f>
        <v>130.5</v>
      </c>
      <c r="D25" s="22" t="n">
        <f aca="false">D9+D11*D8</f>
        <v>170</v>
      </c>
      <c r="E25" s="22" t="n">
        <f aca="false">E9+E11*E8</f>
        <v>170</v>
      </c>
      <c r="F25" s="22" t="n">
        <f aca="false">F9+F11*F8</f>
        <v>170</v>
      </c>
      <c r="G25" s="22" t="n">
        <f aca="false">G9+G11*G8</f>
        <v>170</v>
      </c>
      <c r="H25" s="22" t="n">
        <f aca="false">H9+H11*H8</f>
        <v>170</v>
      </c>
      <c r="I25" s="22" t="n">
        <f aca="false">I9+I11*I8</f>
        <v>170</v>
      </c>
      <c r="J25" s="22" t="n">
        <f aca="false">J9+J11*J8</f>
        <v>170</v>
      </c>
      <c r="K25" s="22" t="n">
        <f aca="false">K9+K11*K8</f>
        <v>170</v>
      </c>
      <c r="L25" s="22" t="n">
        <f aca="false">L9+L11*L8</f>
        <v>170</v>
      </c>
      <c r="M25" s="22" t="n">
        <f aca="false">M9+M11*M8</f>
        <v>170</v>
      </c>
      <c r="N25" s="22" t="n">
        <f aca="false">N9+N11*N8</f>
        <v>170</v>
      </c>
      <c r="O25" s="22" t="n">
        <f aca="false">O9+O11*O8</f>
        <v>170</v>
      </c>
      <c r="P25" s="22" t="n">
        <f aca="false">P9+P11*P8</f>
        <v>170</v>
      </c>
      <c r="Q25" s="22" t="n">
        <f aca="false">Q9+Q11*Q8</f>
        <v>170</v>
      </c>
      <c r="R25" s="22" t="n">
        <f aca="false">R9+R11*R8</f>
        <v>170</v>
      </c>
      <c r="S25" s="22" t="n">
        <f aca="false">S9+S11*S8</f>
        <v>170</v>
      </c>
      <c r="T25" s="22" t="n">
        <f aca="false">T9+T11*T8</f>
        <v>170</v>
      </c>
      <c r="U25" s="22" t="n">
        <f aca="false">U9+U11*U8</f>
        <v>170</v>
      </c>
      <c r="V25" s="22" t="n">
        <f aca="false">V9+V11*V8</f>
        <v>170</v>
      </c>
      <c r="W25" s="22" t="n">
        <f aca="false">W9+W11*W8</f>
        <v>170</v>
      </c>
      <c r="X25" s="22" t="n">
        <f aca="false">X9+X11*X8</f>
        <v>170</v>
      </c>
      <c r="Y25" s="22" t="n">
        <f aca="false">Y9+Y11*Y8</f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5" min="2" style="0" width="10"/>
  </cols>
  <sheetData>
    <row r="1" customFormat="false" ht="17.35" hidden="false" customHeight="false" outlineLevel="0" collapsed="false">
      <c r="A1" s="1" t="s">
        <v>153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" hidden="false" customHeight="false" outlineLevel="0" collapsed="false">
      <c r="A2" s="3" t="s">
        <v>128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5" hidden="false" customHeight="false" outlineLevel="0" collapsed="false">
      <c r="A4" s="4" t="s">
        <v>129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4" t="s">
        <v>35</v>
      </c>
      <c r="M4" s="4" t="s">
        <v>36</v>
      </c>
      <c r="N4" s="4" t="s">
        <v>37</v>
      </c>
      <c r="O4" s="4" t="s">
        <v>38</v>
      </c>
      <c r="P4" s="4" t="s">
        <v>39</v>
      </c>
      <c r="Q4" s="4" t="s">
        <v>40</v>
      </c>
      <c r="R4" s="4" t="s">
        <v>41</v>
      </c>
      <c r="S4" s="4" t="s">
        <v>42</v>
      </c>
      <c r="T4" s="4" t="s">
        <v>43</v>
      </c>
      <c r="U4" s="4" t="s">
        <v>44</v>
      </c>
      <c r="V4" s="4" t="s">
        <v>45</v>
      </c>
      <c r="W4" s="4" t="s">
        <v>46</v>
      </c>
      <c r="X4" s="4" t="s">
        <v>47</v>
      </c>
      <c r="Y4" s="4" t="s">
        <v>48</v>
      </c>
    </row>
    <row r="5" customFormat="false" ht="15" hidden="false" customHeight="false" outlineLevel="0" collapsed="false">
      <c r="A5" s="5" t="s">
        <v>130</v>
      </c>
      <c r="B5" s="22" t="n">
        <f aca="false">Annahmen!$D$48</f>
        <v>3</v>
      </c>
      <c r="C5" s="22" t="n">
        <f aca="false">Annahmen!$D$48</f>
        <v>3</v>
      </c>
      <c r="D5" s="22" t="n">
        <f aca="false">Annahmen!$D$49</f>
        <v>4</v>
      </c>
      <c r="E5" s="22" t="n">
        <f aca="false">Annahmen!$D$49</f>
        <v>4</v>
      </c>
      <c r="F5" s="22" t="n">
        <f aca="false">Annahmen!$D$49</f>
        <v>4</v>
      </c>
      <c r="G5" s="22" t="n">
        <f aca="false">Annahmen!$D$49</f>
        <v>4</v>
      </c>
      <c r="H5" s="22" t="n">
        <f aca="false">Annahmen!$D$49</f>
        <v>4</v>
      </c>
      <c r="I5" s="22" t="n">
        <f aca="false">Annahmen!$D$49</f>
        <v>4</v>
      </c>
      <c r="J5" s="22" t="n">
        <f aca="false">Annahmen!$D$49</f>
        <v>4</v>
      </c>
      <c r="K5" s="22" t="n">
        <f aca="false">Annahmen!$D$49</f>
        <v>4</v>
      </c>
      <c r="L5" s="22" t="n">
        <f aca="false">Annahmen!$D$49</f>
        <v>4</v>
      </c>
      <c r="M5" s="22" t="n">
        <f aca="false">Annahmen!$D$49</f>
        <v>4</v>
      </c>
      <c r="N5" s="22" t="n">
        <f aca="false">Annahmen!$D$49</f>
        <v>4</v>
      </c>
      <c r="O5" s="22" t="n">
        <f aca="false">Annahmen!$D$49</f>
        <v>4</v>
      </c>
      <c r="P5" s="22" t="n">
        <f aca="false">Annahmen!$D$49</f>
        <v>4</v>
      </c>
      <c r="Q5" s="22" t="n">
        <f aca="false">Annahmen!$D$49</f>
        <v>4</v>
      </c>
      <c r="R5" s="22" t="n">
        <f aca="false">Annahmen!$D$49</f>
        <v>4</v>
      </c>
      <c r="S5" s="22" t="n">
        <f aca="false">Annahmen!$D$49</f>
        <v>4</v>
      </c>
      <c r="T5" s="22" t="n">
        <f aca="false">Annahmen!$D$49</f>
        <v>4</v>
      </c>
      <c r="U5" s="22" t="n">
        <f aca="false">Annahmen!$D$49</f>
        <v>4</v>
      </c>
      <c r="V5" s="22" t="n">
        <f aca="false">Annahmen!$D$49</f>
        <v>4</v>
      </c>
      <c r="W5" s="22" t="n">
        <f aca="false">Annahmen!$D$49</f>
        <v>4</v>
      </c>
      <c r="X5" s="22" t="n">
        <f aca="false">Annahmen!$D$49</f>
        <v>4</v>
      </c>
      <c r="Y5" s="22" t="n">
        <f aca="false">Annahmen!$D$49</f>
        <v>4</v>
      </c>
    </row>
    <row r="6" customFormat="false" ht="15" hidden="false" customHeight="false" outlineLevel="0" collapsed="false">
      <c r="A6" s="5" t="s">
        <v>131</v>
      </c>
      <c r="B6" s="23" t="n">
        <f aca="false">IF(1&gt;=Annahmen!$B$16,1,0)</f>
        <v>0</v>
      </c>
      <c r="C6" s="23" t="n">
        <f aca="false">IF(2&gt;=Annahmen!$B$16,1,0)</f>
        <v>0</v>
      </c>
      <c r="D6" s="23" t="n">
        <f aca="false">IF(3&gt;=Annahmen!$B$16,1,0)</f>
        <v>0</v>
      </c>
      <c r="E6" s="23" t="n">
        <f aca="false">IF(4&gt;=Annahmen!$B$16,1,0)</f>
        <v>0</v>
      </c>
      <c r="F6" s="23" t="n">
        <f aca="false">IF(5&gt;=Annahmen!$B$16,1,0)</f>
        <v>0</v>
      </c>
      <c r="G6" s="23" t="n">
        <f aca="false">IF(6&gt;=Annahmen!$B$16,1,0)</f>
        <v>0</v>
      </c>
      <c r="H6" s="23" t="n">
        <f aca="false">IF(7&gt;=Annahmen!$B$16,1,0)</f>
        <v>0</v>
      </c>
      <c r="I6" s="23" t="n">
        <f aca="false">IF(8&gt;=Annahmen!$B$16,1,0)</f>
        <v>1</v>
      </c>
      <c r="J6" s="23" t="n">
        <f aca="false">IF(9&gt;=Annahmen!$B$16,1,0)</f>
        <v>1</v>
      </c>
      <c r="K6" s="23" t="n">
        <f aca="false">IF(10&gt;=Annahmen!$B$16,1,0)</f>
        <v>1</v>
      </c>
      <c r="L6" s="23" t="n">
        <f aca="false">IF(11&gt;=Annahmen!$B$16,1,0)</f>
        <v>1</v>
      </c>
      <c r="M6" s="23" t="n">
        <f aca="false">IF(12&gt;=Annahmen!$B$16,1,0)</f>
        <v>1</v>
      </c>
      <c r="N6" s="23" t="n">
        <f aca="false">IF(13&gt;=Annahmen!$B$16,1,0)</f>
        <v>1</v>
      </c>
      <c r="O6" s="23" t="n">
        <f aca="false">IF(14&gt;=Annahmen!$B$16,1,0)</f>
        <v>1</v>
      </c>
      <c r="P6" s="23" t="n">
        <f aca="false">IF(15&gt;=Annahmen!$B$16,1,0)</f>
        <v>1</v>
      </c>
      <c r="Q6" s="23" t="n">
        <f aca="false">IF(16&gt;=Annahmen!$B$16,1,0)</f>
        <v>1</v>
      </c>
      <c r="R6" s="23" t="n">
        <f aca="false">IF(17&gt;=Annahmen!$B$16,1,0)</f>
        <v>1</v>
      </c>
      <c r="S6" s="23" t="n">
        <f aca="false">IF(18&gt;=Annahmen!$B$16,1,0)</f>
        <v>1</v>
      </c>
      <c r="T6" s="23" t="n">
        <f aca="false">IF(19&gt;=Annahmen!$B$16,1,0)</f>
        <v>1</v>
      </c>
      <c r="U6" s="23" t="n">
        <f aca="false">IF(20&gt;=Annahmen!$B$16,1,0)</f>
        <v>1</v>
      </c>
      <c r="V6" s="23" t="n">
        <f aca="false">IF(21&gt;=Annahmen!$B$16,1,0)</f>
        <v>1</v>
      </c>
      <c r="W6" s="23" t="n">
        <f aca="false">IF(22&gt;=Annahmen!$B$16,1,0)</f>
        <v>1</v>
      </c>
      <c r="X6" s="23" t="n">
        <f aca="false">IF(23&gt;=Annahmen!$B$16,1,0)</f>
        <v>1</v>
      </c>
      <c r="Y6" s="23" t="n">
        <f aca="false">IF(24&gt;=Annahmen!$B$16,1,0)</f>
        <v>1</v>
      </c>
    </row>
    <row r="7" customFormat="false" ht="15" hidden="false" customHeight="false" outlineLevel="0" collapsed="false">
      <c r="A7" s="5" t="s">
        <v>132</v>
      </c>
      <c r="B7" s="23" t="n">
        <f aca="false">IF(0&gt;=Annahmen!$B$39-1,1,0)</f>
        <v>0</v>
      </c>
      <c r="C7" s="23" t="n">
        <f aca="false">IF(B12&gt;=Annahmen!$B$39-1,1,0)</f>
        <v>0</v>
      </c>
      <c r="D7" s="23" t="n">
        <f aca="false">IF(C12&gt;=Annahmen!$B$39-1,1,0)</f>
        <v>1</v>
      </c>
      <c r="E7" s="23" t="n">
        <f aca="false">IF(D12&gt;=Annahmen!$B$39-1,1,0)</f>
        <v>1</v>
      </c>
      <c r="F7" s="23" t="n">
        <f aca="false">IF(E12&gt;=Annahmen!$B$39-1,1,0)</f>
        <v>1</v>
      </c>
      <c r="G7" s="23" t="n">
        <f aca="false">IF(F12&gt;=Annahmen!$B$39-1,1,0)</f>
        <v>1</v>
      </c>
      <c r="H7" s="23" t="n">
        <f aca="false">IF(G12&gt;=Annahmen!$B$39-1,1,0)</f>
        <v>1</v>
      </c>
      <c r="I7" s="23" t="n">
        <f aca="false">IF(H12&gt;=Annahmen!$B$39-1,1,0)</f>
        <v>1</v>
      </c>
      <c r="J7" s="23" t="n">
        <f aca="false">IF(I12&gt;=Annahmen!$B$39-1,1,0)</f>
        <v>1</v>
      </c>
      <c r="K7" s="23" t="n">
        <f aca="false">IF(J12&gt;=Annahmen!$B$39-1,1,0)</f>
        <v>1</v>
      </c>
      <c r="L7" s="23" t="n">
        <f aca="false">IF(K12&gt;=Annahmen!$B$39-1,1,0)</f>
        <v>1</v>
      </c>
      <c r="M7" s="23" t="n">
        <f aca="false">IF(L12&gt;=Annahmen!$B$39-1,1,0)</f>
        <v>1</v>
      </c>
      <c r="N7" s="23" t="n">
        <f aca="false">IF(M12&gt;=Annahmen!$B$39-1,1,0)</f>
        <v>1</v>
      </c>
      <c r="O7" s="23" t="n">
        <f aca="false">IF(N12&gt;=Annahmen!$B$39-1,1,0)</f>
        <v>1</v>
      </c>
      <c r="P7" s="23" t="n">
        <f aca="false">IF(O12&gt;=Annahmen!$B$39-1,1,0)</f>
        <v>1</v>
      </c>
      <c r="Q7" s="23" t="n">
        <f aca="false">IF(P12&gt;=Annahmen!$B$39-1,1,0)</f>
        <v>1</v>
      </c>
      <c r="R7" s="23" t="n">
        <f aca="false">IF(Q12&gt;=Annahmen!$B$39-1,1,0)</f>
        <v>1</v>
      </c>
      <c r="S7" s="23" t="n">
        <f aca="false">IF(R12&gt;=Annahmen!$B$39-1,1,0)</f>
        <v>1</v>
      </c>
      <c r="T7" s="23" t="n">
        <f aca="false">IF(S12&gt;=Annahmen!$B$39-1,1,0)</f>
        <v>1</v>
      </c>
      <c r="U7" s="23" t="n">
        <f aca="false">IF(T12&gt;=Annahmen!$B$39-1,1,0)</f>
        <v>1</v>
      </c>
      <c r="V7" s="23" t="n">
        <f aca="false">IF(U12&gt;=Annahmen!$B$39-1,1,0)</f>
        <v>1</v>
      </c>
      <c r="W7" s="23" t="n">
        <f aca="false">IF(V12&gt;=Annahmen!$B$39-1,1,0)</f>
        <v>1</v>
      </c>
      <c r="X7" s="23" t="n">
        <f aca="false">IF(W12&gt;=Annahmen!$B$39-1,1,0)</f>
        <v>1</v>
      </c>
      <c r="Y7" s="23" t="n">
        <f aca="false">IF(X12&gt;=Annahmen!$B$39-1,1,0)</f>
        <v>1</v>
      </c>
    </row>
    <row r="8" customFormat="false" ht="15" hidden="false" customHeight="false" outlineLevel="0" collapsed="false">
      <c r="A8" s="5" t="s">
        <v>133</v>
      </c>
      <c r="B8" s="22" t="n">
        <f aca="false">Annahmen!$B$12/(1-Annahmen!$B$15*(1-B6))*((Annahmen!$B$21+B7*(Annahmen!$B$30-Annahmen!$B$21))+(Annahmen!$B$25+B7*(Annahmen!$B$34-Annahmen!$B$25))+(Annahmen!$B$29+B7*(Annahmen!$B$38-Annahmen!$B$29)))+Annahmen!$B$13/(1-Annahmen!$B$15*(1-B6))*((Annahmen!$B$22+B7*(Annahmen!$B$31-Annahmen!$B$22))+(Annahmen!$B$26+B7*(Annahmen!$B$35-Annahmen!$B$26))+(Annahmen!$B$29+B7*(Annahmen!$B$38-Annahmen!$B$29)))+Annahmen!$B$14/(1-Annahmen!$B$15*(1-B6))*((Annahmen!$B$23+B7*(Annahmen!$B$32-Annahmen!$B$23))+(Annahmen!$B$27+B7*(Annahmen!$B$36-Annahmen!$B$27))+(Annahmen!$B$29+B7*(Annahmen!$B$38-Annahmen!$B$29)))+Annahmen!$B$15*B6*((Annahmen!$B$24+B7*(Annahmen!$B$33-Annahmen!$B$24))+(Annahmen!$B$28+B7*(Annahmen!$B$37-Annahmen!$B$28))+(Annahmen!$B$29+B7*(Annahmen!$B$38-Annahmen!$B$29)))</f>
        <v>37.0833333333333</v>
      </c>
      <c r="C8" s="22" t="n">
        <f aca="false">Annahmen!$B$12/(1-Annahmen!$B$15*(1-C6))*((Annahmen!$B$21+C7*(Annahmen!$B$30-Annahmen!$B$21))+(Annahmen!$B$25+C7*(Annahmen!$B$34-Annahmen!$B$25))+(Annahmen!$B$29+C7*(Annahmen!$B$38-Annahmen!$B$29)))+Annahmen!$B$13/(1-Annahmen!$B$15*(1-C6))*((Annahmen!$B$22+C7*(Annahmen!$B$31-Annahmen!$B$22))+(Annahmen!$B$26+C7*(Annahmen!$B$35-Annahmen!$B$26))+(Annahmen!$B$29+C7*(Annahmen!$B$38-Annahmen!$B$29)))+Annahmen!$B$14/(1-Annahmen!$B$15*(1-C6))*((Annahmen!$B$23+C7*(Annahmen!$B$32-Annahmen!$B$23))+(Annahmen!$B$27+C7*(Annahmen!$B$36-Annahmen!$B$27))+(Annahmen!$B$29+C7*(Annahmen!$B$38-Annahmen!$B$29)))+Annahmen!$B$15*C6*((Annahmen!$B$24+C7*(Annahmen!$B$33-Annahmen!$B$24))+(Annahmen!$B$28+C7*(Annahmen!$B$37-Annahmen!$B$28))+(Annahmen!$B$29+C7*(Annahmen!$B$38-Annahmen!$B$29)))</f>
        <v>37.0833333333333</v>
      </c>
      <c r="D8" s="22" t="n">
        <f aca="false">Annahmen!$B$12/(1-Annahmen!$B$15*(1-D6))*((Annahmen!$B$21+D7*(Annahmen!$B$30-Annahmen!$B$21))+(Annahmen!$B$25+D7*(Annahmen!$B$34-Annahmen!$B$25))+(Annahmen!$B$29+D7*(Annahmen!$B$38-Annahmen!$B$29)))+Annahmen!$B$13/(1-Annahmen!$B$15*(1-D6))*((Annahmen!$B$22+D7*(Annahmen!$B$31-Annahmen!$B$22))+(Annahmen!$B$26+D7*(Annahmen!$B$35-Annahmen!$B$26))+(Annahmen!$B$29+D7*(Annahmen!$B$38-Annahmen!$B$29)))+Annahmen!$B$14/(1-Annahmen!$B$15*(1-D6))*((Annahmen!$B$23+D7*(Annahmen!$B$32-Annahmen!$B$23))+(Annahmen!$B$27+D7*(Annahmen!$B$36-Annahmen!$B$27))+(Annahmen!$B$29+D7*(Annahmen!$B$38-Annahmen!$B$29)))+Annahmen!$B$15*D6*((Annahmen!$B$24+D7*(Annahmen!$B$33-Annahmen!$B$24))+(Annahmen!$B$28+D7*(Annahmen!$B$37-Annahmen!$B$28))+(Annahmen!$B$29+D7*(Annahmen!$B$38-Annahmen!$B$29)))</f>
        <v>19.0333333333333</v>
      </c>
      <c r="E8" s="22" t="n">
        <f aca="false">Annahmen!$B$12/(1-Annahmen!$B$15*(1-E6))*((Annahmen!$B$21+E7*(Annahmen!$B$30-Annahmen!$B$21))+(Annahmen!$B$25+E7*(Annahmen!$B$34-Annahmen!$B$25))+(Annahmen!$B$29+E7*(Annahmen!$B$38-Annahmen!$B$29)))+Annahmen!$B$13/(1-Annahmen!$B$15*(1-E6))*((Annahmen!$B$22+E7*(Annahmen!$B$31-Annahmen!$B$22))+(Annahmen!$B$26+E7*(Annahmen!$B$35-Annahmen!$B$26))+(Annahmen!$B$29+E7*(Annahmen!$B$38-Annahmen!$B$29)))+Annahmen!$B$14/(1-Annahmen!$B$15*(1-E6))*((Annahmen!$B$23+E7*(Annahmen!$B$32-Annahmen!$B$23))+(Annahmen!$B$27+E7*(Annahmen!$B$36-Annahmen!$B$27))+(Annahmen!$B$29+E7*(Annahmen!$B$38-Annahmen!$B$29)))+Annahmen!$B$15*E6*((Annahmen!$B$24+E7*(Annahmen!$B$33-Annahmen!$B$24))+(Annahmen!$B$28+E7*(Annahmen!$B$37-Annahmen!$B$28))+(Annahmen!$B$29+E7*(Annahmen!$B$38-Annahmen!$B$29)))</f>
        <v>19.0333333333333</v>
      </c>
      <c r="F8" s="22" t="n">
        <f aca="false">Annahmen!$B$12/(1-Annahmen!$B$15*(1-F6))*((Annahmen!$B$21+F7*(Annahmen!$B$30-Annahmen!$B$21))+(Annahmen!$B$25+F7*(Annahmen!$B$34-Annahmen!$B$25))+(Annahmen!$B$29+F7*(Annahmen!$B$38-Annahmen!$B$29)))+Annahmen!$B$13/(1-Annahmen!$B$15*(1-F6))*((Annahmen!$B$22+F7*(Annahmen!$B$31-Annahmen!$B$22))+(Annahmen!$B$26+F7*(Annahmen!$B$35-Annahmen!$B$26))+(Annahmen!$B$29+F7*(Annahmen!$B$38-Annahmen!$B$29)))+Annahmen!$B$14/(1-Annahmen!$B$15*(1-F6))*((Annahmen!$B$23+F7*(Annahmen!$B$32-Annahmen!$B$23))+(Annahmen!$B$27+F7*(Annahmen!$B$36-Annahmen!$B$27))+(Annahmen!$B$29+F7*(Annahmen!$B$38-Annahmen!$B$29)))+Annahmen!$B$15*F6*((Annahmen!$B$24+F7*(Annahmen!$B$33-Annahmen!$B$24))+(Annahmen!$B$28+F7*(Annahmen!$B$37-Annahmen!$B$28))+(Annahmen!$B$29+F7*(Annahmen!$B$38-Annahmen!$B$29)))</f>
        <v>19.0333333333333</v>
      </c>
      <c r="G8" s="22" t="n">
        <f aca="false">Annahmen!$B$12/(1-Annahmen!$B$15*(1-G6))*((Annahmen!$B$21+G7*(Annahmen!$B$30-Annahmen!$B$21))+(Annahmen!$B$25+G7*(Annahmen!$B$34-Annahmen!$B$25))+(Annahmen!$B$29+G7*(Annahmen!$B$38-Annahmen!$B$29)))+Annahmen!$B$13/(1-Annahmen!$B$15*(1-G6))*((Annahmen!$B$22+G7*(Annahmen!$B$31-Annahmen!$B$22))+(Annahmen!$B$26+G7*(Annahmen!$B$35-Annahmen!$B$26))+(Annahmen!$B$29+G7*(Annahmen!$B$38-Annahmen!$B$29)))+Annahmen!$B$14/(1-Annahmen!$B$15*(1-G6))*((Annahmen!$B$23+G7*(Annahmen!$B$32-Annahmen!$B$23))+(Annahmen!$B$27+G7*(Annahmen!$B$36-Annahmen!$B$27))+(Annahmen!$B$29+G7*(Annahmen!$B$38-Annahmen!$B$29)))+Annahmen!$B$15*G6*((Annahmen!$B$24+G7*(Annahmen!$B$33-Annahmen!$B$24))+(Annahmen!$B$28+G7*(Annahmen!$B$37-Annahmen!$B$28))+(Annahmen!$B$29+G7*(Annahmen!$B$38-Annahmen!$B$29)))</f>
        <v>19.0333333333333</v>
      </c>
      <c r="H8" s="22" t="n">
        <f aca="false">Annahmen!$B$12/(1-Annahmen!$B$15*(1-H6))*((Annahmen!$B$21+H7*(Annahmen!$B$30-Annahmen!$B$21))+(Annahmen!$B$25+H7*(Annahmen!$B$34-Annahmen!$B$25))+(Annahmen!$B$29+H7*(Annahmen!$B$38-Annahmen!$B$29)))+Annahmen!$B$13/(1-Annahmen!$B$15*(1-H6))*((Annahmen!$B$22+H7*(Annahmen!$B$31-Annahmen!$B$22))+(Annahmen!$B$26+H7*(Annahmen!$B$35-Annahmen!$B$26))+(Annahmen!$B$29+H7*(Annahmen!$B$38-Annahmen!$B$29)))+Annahmen!$B$14/(1-Annahmen!$B$15*(1-H6))*((Annahmen!$B$23+H7*(Annahmen!$B$32-Annahmen!$B$23))+(Annahmen!$B$27+H7*(Annahmen!$B$36-Annahmen!$B$27))+(Annahmen!$B$29+H7*(Annahmen!$B$38-Annahmen!$B$29)))+Annahmen!$B$15*H6*((Annahmen!$B$24+H7*(Annahmen!$B$33-Annahmen!$B$24))+(Annahmen!$B$28+H7*(Annahmen!$B$37-Annahmen!$B$28))+(Annahmen!$B$29+H7*(Annahmen!$B$38-Annahmen!$B$29)))</f>
        <v>19.0333333333333</v>
      </c>
      <c r="I8" s="22" t="n">
        <f aca="false">Annahmen!$B$12/(1-Annahmen!$B$15*(1-I6))*((Annahmen!$B$21+I7*(Annahmen!$B$30-Annahmen!$B$21))+(Annahmen!$B$25+I7*(Annahmen!$B$34-Annahmen!$B$25))+(Annahmen!$B$29+I7*(Annahmen!$B$38-Annahmen!$B$29)))+Annahmen!$B$13/(1-Annahmen!$B$15*(1-I6))*((Annahmen!$B$22+I7*(Annahmen!$B$31-Annahmen!$B$22))+(Annahmen!$B$26+I7*(Annahmen!$B$35-Annahmen!$B$26))+(Annahmen!$B$29+I7*(Annahmen!$B$38-Annahmen!$B$29)))+Annahmen!$B$14/(1-Annahmen!$B$15*(1-I6))*((Annahmen!$B$23+I7*(Annahmen!$B$32-Annahmen!$B$23))+(Annahmen!$B$27+I7*(Annahmen!$B$36-Annahmen!$B$27))+(Annahmen!$B$29+I7*(Annahmen!$B$38-Annahmen!$B$29)))+Annahmen!$B$15*I6*((Annahmen!$B$24+I7*(Annahmen!$B$33-Annahmen!$B$24))+(Annahmen!$B$28+I7*(Annahmen!$B$37-Annahmen!$B$28))+(Annahmen!$B$29+I7*(Annahmen!$B$38-Annahmen!$B$29)))</f>
        <v>18.275</v>
      </c>
      <c r="J8" s="22" t="n">
        <f aca="false">Annahmen!$B$12/(1-Annahmen!$B$15*(1-J6))*((Annahmen!$B$21+J7*(Annahmen!$B$30-Annahmen!$B$21))+(Annahmen!$B$25+J7*(Annahmen!$B$34-Annahmen!$B$25))+(Annahmen!$B$29+J7*(Annahmen!$B$38-Annahmen!$B$29)))+Annahmen!$B$13/(1-Annahmen!$B$15*(1-J6))*((Annahmen!$B$22+J7*(Annahmen!$B$31-Annahmen!$B$22))+(Annahmen!$B$26+J7*(Annahmen!$B$35-Annahmen!$B$26))+(Annahmen!$B$29+J7*(Annahmen!$B$38-Annahmen!$B$29)))+Annahmen!$B$14/(1-Annahmen!$B$15*(1-J6))*((Annahmen!$B$23+J7*(Annahmen!$B$32-Annahmen!$B$23))+(Annahmen!$B$27+J7*(Annahmen!$B$36-Annahmen!$B$27))+(Annahmen!$B$29+J7*(Annahmen!$B$38-Annahmen!$B$29)))+Annahmen!$B$15*J6*((Annahmen!$B$24+J7*(Annahmen!$B$33-Annahmen!$B$24))+(Annahmen!$B$28+J7*(Annahmen!$B$37-Annahmen!$B$28))+(Annahmen!$B$29+J7*(Annahmen!$B$38-Annahmen!$B$29)))</f>
        <v>18.275</v>
      </c>
      <c r="K8" s="22" t="n">
        <f aca="false">Annahmen!$B$12/(1-Annahmen!$B$15*(1-K6))*((Annahmen!$B$21+K7*(Annahmen!$B$30-Annahmen!$B$21))+(Annahmen!$B$25+K7*(Annahmen!$B$34-Annahmen!$B$25))+(Annahmen!$B$29+K7*(Annahmen!$B$38-Annahmen!$B$29)))+Annahmen!$B$13/(1-Annahmen!$B$15*(1-K6))*((Annahmen!$B$22+K7*(Annahmen!$B$31-Annahmen!$B$22))+(Annahmen!$B$26+K7*(Annahmen!$B$35-Annahmen!$B$26))+(Annahmen!$B$29+K7*(Annahmen!$B$38-Annahmen!$B$29)))+Annahmen!$B$14/(1-Annahmen!$B$15*(1-K6))*((Annahmen!$B$23+K7*(Annahmen!$B$32-Annahmen!$B$23))+(Annahmen!$B$27+K7*(Annahmen!$B$36-Annahmen!$B$27))+(Annahmen!$B$29+K7*(Annahmen!$B$38-Annahmen!$B$29)))+Annahmen!$B$15*K6*((Annahmen!$B$24+K7*(Annahmen!$B$33-Annahmen!$B$24))+(Annahmen!$B$28+K7*(Annahmen!$B$37-Annahmen!$B$28))+(Annahmen!$B$29+K7*(Annahmen!$B$38-Annahmen!$B$29)))</f>
        <v>18.275</v>
      </c>
      <c r="L8" s="22" t="n">
        <f aca="false">Annahmen!$B$12/(1-Annahmen!$B$15*(1-L6))*((Annahmen!$B$21+L7*(Annahmen!$B$30-Annahmen!$B$21))+(Annahmen!$B$25+L7*(Annahmen!$B$34-Annahmen!$B$25))+(Annahmen!$B$29+L7*(Annahmen!$B$38-Annahmen!$B$29)))+Annahmen!$B$13/(1-Annahmen!$B$15*(1-L6))*((Annahmen!$B$22+L7*(Annahmen!$B$31-Annahmen!$B$22))+(Annahmen!$B$26+L7*(Annahmen!$B$35-Annahmen!$B$26))+(Annahmen!$B$29+L7*(Annahmen!$B$38-Annahmen!$B$29)))+Annahmen!$B$14/(1-Annahmen!$B$15*(1-L6))*((Annahmen!$B$23+L7*(Annahmen!$B$32-Annahmen!$B$23))+(Annahmen!$B$27+L7*(Annahmen!$B$36-Annahmen!$B$27))+(Annahmen!$B$29+L7*(Annahmen!$B$38-Annahmen!$B$29)))+Annahmen!$B$15*L6*((Annahmen!$B$24+L7*(Annahmen!$B$33-Annahmen!$B$24))+(Annahmen!$B$28+L7*(Annahmen!$B$37-Annahmen!$B$28))+(Annahmen!$B$29+L7*(Annahmen!$B$38-Annahmen!$B$29)))</f>
        <v>18.275</v>
      </c>
      <c r="M8" s="22" t="n">
        <f aca="false">Annahmen!$B$12/(1-Annahmen!$B$15*(1-M6))*((Annahmen!$B$21+M7*(Annahmen!$B$30-Annahmen!$B$21))+(Annahmen!$B$25+M7*(Annahmen!$B$34-Annahmen!$B$25))+(Annahmen!$B$29+M7*(Annahmen!$B$38-Annahmen!$B$29)))+Annahmen!$B$13/(1-Annahmen!$B$15*(1-M6))*((Annahmen!$B$22+M7*(Annahmen!$B$31-Annahmen!$B$22))+(Annahmen!$B$26+M7*(Annahmen!$B$35-Annahmen!$B$26))+(Annahmen!$B$29+M7*(Annahmen!$B$38-Annahmen!$B$29)))+Annahmen!$B$14/(1-Annahmen!$B$15*(1-M6))*((Annahmen!$B$23+M7*(Annahmen!$B$32-Annahmen!$B$23))+(Annahmen!$B$27+M7*(Annahmen!$B$36-Annahmen!$B$27))+(Annahmen!$B$29+M7*(Annahmen!$B$38-Annahmen!$B$29)))+Annahmen!$B$15*M6*((Annahmen!$B$24+M7*(Annahmen!$B$33-Annahmen!$B$24))+(Annahmen!$B$28+M7*(Annahmen!$B$37-Annahmen!$B$28))+(Annahmen!$B$29+M7*(Annahmen!$B$38-Annahmen!$B$29)))</f>
        <v>18.275</v>
      </c>
      <c r="N8" s="22" t="n">
        <f aca="false">Annahmen!$B$12/(1-Annahmen!$B$15*(1-N6))*((Annahmen!$B$21+N7*(Annahmen!$B$30-Annahmen!$B$21))+(Annahmen!$B$25+N7*(Annahmen!$B$34-Annahmen!$B$25))+(Annahmen!$B$29+N7*(Annahmen!$B$38-Annahmen!$B$29)))+Annahmen!$B$13/(1-Annahmen!$B$15*(1-N6))*((Annahmen!$B$22+N7*(Annahmen!$B$31-Annahmen!$B$22))+(Annahmen!$B$26+N7*(Annahmen!$B$35-Annahmen!$B$26))+(Annahmen!$B$29+N7*(Annahmen!$B$38-Annahmen!$B$29)))+Annahmen!$B$14/(1-Annahmen!$B$15*(1-N6))*((Annahmen!$B$23+N7*(Annahmen!$B$32-Annahmen!$B$23))+(Annahmen!$B$27+N7*(Annahmen!$B$36-Annahmen!$B$27))+(Annahmen!$B$29+N7*(Annahmen!$B$38-Annahmen!$B$29)))+Annahmen!$B$15*N6*((Annahmen!$B$24+N7*(Annahmen!$B$33-Annahmen!$B$24))+(Annahmen!$B$28+N7*(Annahmen!$B$37-Annahmen!$B$28))+(Annahmen!$B$29+N7*(Annahmen!$B$38-Annahmen!$B$29)))</f>
        <v>18.275</v>
      </c>
      <c r="O8" s="22" t="n">
        <f aca="false">Annahmen!$B$12/(1-Annahmen!$B$15*(1-O6))*((Annahmen!$B$21+O7*(Annahmen!$B$30-Annahmen!$B$21))+(Annahmen!$B$25+O7*(Annahmen!$B$34-Annahmen!$B$25))+(Annahmen!$B$29+O7*(Annahmen!$B$38-Annahmen!$B$29)))+Annahmen!$B$13/(1-Annahmen!$B$15*(1-O6))*((Annahmen!$B$22+O7*(Annahmen!$B$31-Annahmen!$B$22))+(Annahmen!$B$26+O7*(Annahmen!$B$35-Annahmen!$B$26))+(Annahmen!$B$29+O7*(Annahmen!$B$38-Annahmen!$B$29)))+Annahmen!$B$14/(1-Annahmen!$B$15*(1-O6))*((Annahmen!$B$23+O7*(Annahmen!$B$32-Annahmen!$B$23))+(Annahmen!$B$27+O7*(Annahmen!$B$36-Annahmen!$B$27))+(Annahmen!$B$29+O7*(Annahmen!$B$38-Annahmen!$B$29)))+Annahmen!$B$15*O6*((Annahmen!$B$24+O7*(Annahmen!$B$33-Annahmen!$B$24))+(Annahmen!$B$28+O7*(Annahmen!$B$37-Annahmen!$B$28))+(Annahmen!$B$29+O7*(Annahmen!$B$38-Annahmen!$B$29)))</f>
        <v>18.275</v>
      </c>
      <c r="P8" s="22" t="n">
        <f aca="false">Annahmen!$B$12/(1-Annahmen!$B$15*(1-P6))*((Annahmen!$B$21+P7*(Annahmen!$B$30-Annahmen!$B$21))+(Annahmen!$B$25+P7*(Annahmen!$B$34-Annahmen!$B$25))+(Annahmen!$B$29+P7*(Annahmen!$B$38-Annahmen!$B$29)))+Annahmen!$B$13/(1-Annahmen!$B$15*(1-P6))*((Annahmen!$B$22+P7*(Annahmen!$B$31-Annahmen!$B$22))+(Annahmen!$B$26+P7*(Annahmen!$B$35-Annahmen!$B$26))+(Annahmen!$B$29+P7*(Annahmen!$B$38-Annahmen!$B$29)))+Annahmen!$B$14/(1-Annahmen!$B$15*(1-P6))*((Annahmen!$B$23+P7*(Annahmen!$B$32-Annahmen!$B$23))+(Annahmen!$B$27+P7*(Annahmen!$B$36-Annahmen!$B$27))+(Annahmen!$B$29+P7*(Annahmen!$B$38-Annahmen!$B$29)))+Annahmen!$B$15*P6*((Annahmen!$B$24+P7*(Annahmen!$B$33-Annahmen!$B$24))+(Annahmen!$B$28+P7*(Annahmen!$B$37-Annahmen!$B$28))+(Annahmen!$B$29+P7*(Annahmen!$B$38-Annahmen!$B$29)))</f>
        <v>18.275</v>
      </c>
      <c r="Q8" s="22" t="n">
        <f aca="false">Annahmen!$B$12/(1-Annahmen!$B$15*(1-Q6))*((Annahmen!$B$21+Q7*(Annahmen!$B$30-Annahmen!$B$21))+(Annahmen!$B$25+Q7*(Annahmen!$B$34-Annahmen!$B$25))+(Annahmen!$B$29+Q7*(Annahmen!$B$38-Annahmen!$B$29)))+Annahmen!$B$13/(1-Annahmen!$B$15*(1-Q6))*((Annahmen!$B$22+Q7*(Annahmen!$B$31-Annahmen!$B$22))+(Annahmen!$B$26+Q7*(Annahmen!$B$35-Annahmen!$B$26))+(Annahmen!$B$29+Q7*(Annahmen!$B$38-Annahmen!$B$29)))+Annahmen!$B$14/(1-Annahmen!$B$15*(1-Q6))*((Annahmen!$B$23+Q7*(Annahmen!$B$32-Annahmen!$B$23))+(Annahmen!$B$27+Q7*(Annahmen!$B$36-Annahmen!$B$27))+(Annahmen!$B$29+Q7*(Annahmen!$B$38-Annahmen!$B$29)))+Annahmen!$B$15*Q6*((Annahmen!$B$24+Q7*(Annahmen!$B$33-Annahmen!$B$24))+(Annahmen!$B$28+Q7*(Annahmen!$B$37-Annahmen!$B$28))+(Annahmen!$B$29+Q7*(Annahmen!$B$38-Annahmen!$B$29)))</f>
        <v>18.275</v>
      </c>
      <c r="R8" s="22" t="n">
        <f aca="false">Annahmen!$B$12/(1-Annahmen!$B$15*(1-R6))*((Annahmen!$B$21+R7*(Annahmen!$B$30-Annahmen!$B$21))+(Annahmen!$B$25+R7*(Annahmen!$B$34-Annahmen!$B$25))+(Annahmen!$B$29+R7*(Annahmen!$B$38-Annahmen!$B$29)))+Annahmen!$B$13/(1-Annahmen!$B$15*(1-R6))*((Annahmen!$B$22+R7*(Annahmen!$B$31-Annahmen!$B$22))+(Annahmen!$B$26+R7*(Annahmen!$B$35-Annahmen!$B$26))+(Annahmen!$B$29+R7*(Annahmen!$B$38-Annahmen!$B$29)))+Annahmen!$B$14/(1-Annahmen!$B$15*(1-R6))*((Annahmen!$B$23+R7*(Annahmen!$B$32-Annahmen!$B$23))+(Annahmen!$B$27+R7*(Annahmen!$B$36-Annahmen!$B$27))+(Annahmen!$B$29+R7*(Annahmen!$B$38-Annahmen!$B$29)))+Annahmen!$B$15*R6*((Annahmen!$B$24+R7*(Annahmen!$B$33-Annahmen!$B$24))+(Annahmen!$B$28+R7*(Annahmen!$B$37-Annahmen!$B$28))+(Annahmen!$B$29+R7*(Annahmen!$B$38-Annahmen!$B$29)))</f>
        <v>18.275</v>
      </c>
      <c r="S8" s="22" t="n">
        <f aca="false">Annahmen!$B$12/(1-Annahmen!$B$15*(1-S6))*((Annahmen!$B$21+S7*(Annahmen!$B$30-Annahmen!$B$21))+(Annahmen!$B$25+S7*(Annahmen!$B$34-Annahmen!$B$25))+(Annahmen!$B$29+S7*(Annahmen!$B$38-Annahmen!$B$29)))+Annahmen!$B$13/(1-Annahmen!$B$15*(1-S6))*((Annahmen!$B$22+S7*(Annahmen!$B$31-Annahmen!$B$22))+(Annahmen!$B$26+S7*(Annahmen!$B$35-Annahmen!$B$26))+(Annahmen!$B$29+S7*(Annahmen!$B$38-Annahmen!$B$29)))+Annahmen!$B$14/(1-Annahmen!$B$15*(1-S6))*((Annahmen!$B$23+S7*(Annahmen!$B$32-Annahmen!$B$23))+(Annahmen!$B$27+S7*(Annahmen!$B$36-Annahmen!$B$27))+(Annahmen!$B$29+S7*(Annahmen!$B$38-Annahmen!$B$29)))+Annahmen!$B$15*S6*((Annahmen!$B$24+S7*(Annahmen!$B$33-Annahmen!$B$24))+(Annahmen!$B$28+S7*(Annahmen!$B$37-Annahmen!$B$28))+(Annahmen!$B$29+S7*(Annahmen!$B$38-Annahmen!$B$29)))</f>
        <v>18.275</v>
      </c>
      <c r="T8" s="22" t="n">
        <f aca="false">Annahmen!$B$12/(1-Annahmen!$B$15*(1-T6))*((Annahmen!$B$21+T7*(Annahmen!$B$30-Annahmen!$B$21))+(Annahmen!$B$25+T7*(Annahmen!$B$34-Annahmen!$B$25))+(Annahmen!$B$29+T7*(Annahmen!$B$38-Annahmen!$B$29)))+Annahmen!$B$13/(1-Annahmen!$B$15*(1-T6))*((Annahmen!$B$22+T7*(Annahmen!$B$31-Annahmen!$B$22))+(Annahmen!$B$26+T7*(Annahmen!$B$35-Annahmen!$B$26))+(Annahmen!$B$29+T7*(Annahmen!$B$38-Annahmen!$B$29)))+Annahmen!$B$14/(1-Annahmen!$B$15*(1-T6))*((Annahmen!$B$23+T7*(Annahmen!$B$32-Annahmen!$B$23))+(Annahmen!$B$27+T7*(Annahmen!$B$36-Annahmen!$B$27))+(Annahmen!$B$29+T7*(Annahmen!$B$38-Annahmen!$B$29)))+Annahmen!$B$15*T6*((Annahmen!$B$24+T7*(Annahmen!$B$33-Annahmen!$B$24))+(Annahmen!$B$28+T7*(Annahmen!$B$37-Annahmen!$B$28))+(Annahmen!$B$29+T7*(Annahmen!$B$38-Annahmen!$B$29)))</f>
        <v>18.275</v>
      </c>
      <c r="U8" s="22" t="n">
        <f aca="false">Annahmen!$B$12/(1-Annahmen!$B$15*(1-U6))*((Annahmen!$B$21+U7*(Annahmen!$B$30-Annahmen!$B$21))+(Annahmen!$B$25+U7*(Annahmen!$B$34-Annahmen!$B$25))+(Annahmen!$B$29+U7*(Annahmen!$B$38-Annahmen!$B$29)))+Annahmen!$B$13/(1-Annahmen!$B$15*(1-U6))*((Annahmen!$B$22+U7*(Annahmen!$B$31-Annahmen!$B$22))+(Annahmen!$B$26+U7*(Annahmen!$B$35-Annahmen!$B$26))+(Annahmen!$B$29+U7*(Annahmen!$B$38-Annahmen!$B$29)))+Annahmen!$B$14/(1-Annahmen!$B$15*(1-U6))*((Annahmen!$B$23+U7*(Annahmen!$B$32-Annahmen!$B$23))+(Annahmen!$B$27+U7*(Annahmen!$B$36-Annahmen!$B$27))+(Annahmen!$B$29+U7*(Annahmen!$B$38-Annahmen!$B$29)))+Annahmen!$B$15*U6*((Annahmen!$B$24+U7*(Annahmen!$B$33-Annahmen!$B$24))+(Annahmen!$B$28+U7*(Annahmen!$B$37-Annahmen!$B$28))+(Annahmen!$B$29+U7*(Annahmen!$B$38-Annahmen!$B$29)))</f>
        <v>18.275</v>
      </c>
      <c r="V8" s="22" t="n">
        <f aca="false">Annahmen!$B$12/(1-Annahmen!$B$15*(1-V6))*((Annahmen!$B$21+V7*(Annahmen!$B$30-Annahmen!$B$21))+(Annahmen!$B$25+V7*(Annahmen!$B$34-Annahmen!$B$25))+(Annahmen!$B$29+V7*(Annahmen!$B$38-Annahmen!$B$29)))+Annahmen!$B$13/(1-Annahmen!$B$15*(1-V6))*((Annahmen!$B$22+V7*(Annahmen!$B$31-Annahmen!$B$22))+(Annahmen!$B$26+V7*(Annahmen!$B$35-Annahmen!$B$26))+(Annahmen!$B$29+V7*(Annahmen!$B$38-Annahmen!$B$29)))+Annahmen!$B$14/(1-Annahmen!$B$15*(1-V6))*((Annahmen!$B$23+V7*(Annahmen!$B$32-Annahmen!$B$23))+(Annahmen!$B$27+V7*(Annahmen!$B$36-Annahmen!$B$27))+(Annahmen!$B$29+V7*(Annahmen!$B$38-Annahmen!$B$29)))+Annahmen!$B$15*V6*((Annahmen!$B$24+V7*(Annahmen!$B$33-Annahmen!$B$24))+(Annahmen!$B$28+V7*(Annahmen!$B$37-Annahmen!$B$28))+(Annahmen!$B$29+V7*(Annahmen!$B$38-Annahmen!$B$29)))</f>
        <v>18.275</v>
      </c>
      <c r="W8" s="22" t="n">
        <f aca="false">Annahmen!$B$12/(1-Annahmen!$B$15*(1-W6))*((Annahmen!$B$21+W7*(Annahmen!$B$30-Annahmen!$B$21))+(Annahmen!$B$25+W7*(Annahmen!$B$34-Annahmen!$B$25))+(Annahmen!$B$29+W7*(Annahmen!$B$38-Annahmen!$B$29)))+Annahmen!$B$13/(1-Annahmen!$B$15*(1-W6))*((Annahmen!$B$22+W7*(Annahmen!$B$31-Annahmen!$B$22))+(Annahmen!$B$26+W7*(Annahmen!$B$35-Annahmen!$B$26))+(Annahmen!$B$29+W7*(Annahmen!$B$38-Annahmen!$B$29)))+Annahmen!$B$14/(1-Annahmen!$B$15*(1-W6))*((Annahmen!$B$23+W7*(Annahmen!$B$32-Annahmen!$B$23))+(Annahmen!$B$27+W7*(Annahmen!$B$36-Annahmen!$B$27))+(Annahmen!$B$29+W7*(Annahmen!$B$38-Annahmen!$B$29)))+Annahmen!$B$15*W6*((Annahmen!$B$24+W7*(Annahmen!$B$33-Annahmen!$B$24))+(Annahmen!$B$28+W7*(Annahmen!$B$37-Annahmen!$B$28))+(Annahmen!$B$29+W7*(Annahmen!$B$38-Annahmen!$B$29)))</f>
        <v>18.275</v>
      </c>
      <c r="X8" s="22" t="n">
        <f aca="false">Annahmen!$B$12/(1-Annahmen!$B$15*(1-X6))*((Annahmen!$B$21+X7*(Annahmen!$B$30-Annahmen!$B$21))+(Annahmen!$B$25+X7*(Annahmen!$B$34-Annahmen!$B$25))+(Annahmen!$B$29+X7*(Annahmen!$B$38-Annahmen!$B$29)))+Annahmen!$B$13/(1-Annahmen!$B$15*(1-X6))*((Annahmen!$B$22+X7*(Annahmen!$B$31-Annahmen!$B$22))+(Annahmen!$B$26+X7*(Annahmen!$B$35-Annahmen!$B$26))+(Annahmen!$B$29+X7*(Annahmen!$B$38-Annahmen!$B$29)))+Annahmen!$B$14/(1-Annahmen!$B$15*(1-X6))*((Annahmen!$B$23+X7*(Annahmen!$B$32-Annahmen!$B$23))+(Annahmen!$B$27+X7*(Annahmen!$B$36-Annahmen!$B$27))+(Annahmen!$B$29+X7*(Annahmen!$B$38-Annahmen!$B$29)))+Annahmen!$B$15*X6*((Annahmen!$B$24+X7*(Annahmen!$B$33-Annahmen!$B$24))+(Annahmen!$B$28+X7*(Annahmen!$B$37-Annahmen!$B$28))+(Annahmen!$B$29+X7*(Annahmen!$B$38-Annahmen!$B$29)))</f>
        <v>18.275</v>
      </c>
      <c r="Y8" s="22" t="n">
        <f aca="false">Annahmen!$B$12/(1-Annahmen!$B$15*(1-Y6))*((Annahmen!$B$21+Y7*(Annahmen!$B$30-Annahmen!$B$21))+(Annahmen!$B$25+Y7*(Annahmen!$B$34-Annahmen!$B$25))+(Annahmen!$B$29+Y7*(Annahmen!$B$38-Annahmen!$B$29)))+Annahmen!$B$13/(1-Annahmen!$B$15*(1-Y6))*((Annahmen!$B$22+Y7*(Annahmen!$B$31-Annahmen!$B$22))+(Annahmen!$B$26+Y7*(Annahmen!$B$35-Annahmen!$B$26))+(Annahmen!$B$29+Y7*(Annahmen!$B$38-Annahmen!$B$29)))+Annahmen!$B$14/(1-Annahmen!$B$15*(1-Y6))*((Annahmen!$B$23+Y7*(Annahmen!$B$32-Annahmen!$B$23))+(Annahmen!$B$27+Y7*(Annahmen!$B$36-Annahmen!$B$27))+(Annahmen!$B$29+Y7*(Annahmen!$B$38-Annahmen!$B$29)))+Annahmen!$B$15*Y6*((Annahmen!$B$24+Y7*(Annahmen!$B$33-Annahmen!$B$24))+(Annahmen!$B$28+Y7*(Annahmen!$B$37-Annahmen!$B$28))+(Annahmen!$B$29+Y7*(Annahmen!$B$38-Annahmen!$B$29)))</f>
        <v>18.275</v>
      </c>
    </row>
    <row r="9" customFormat="false" ht="15" hidden="false" customHeight="false" outlineLevel="0" collapsed="false">
      <c r="A9" s="5" t="s">
        <v>134</v>
      </c>
      <c r="B9" s="22" t="n">
        <f aca="false">0*(Annahmen!$B$25+B7*(Annahmen!$B$34-Annahmen!$B$25))+0*(Annahmen!$B$26+B7*(Annahmen!$B$35-Annahmen!$B$26))+0*(Annahmen!$B$27+B7*(Annahmen!$B$36-Annahmen!$B$27))+0*(Annahmen!$B$28+B7*(Annahmen!$B$37-Annahmen!$B$28))</f>
        <v>0</v>
      </c>
      <c r="C9" s="22" t="n">
        <f aca="false">B14*(Annahmen!$B$25+C7*(Annahmen!$B$34-Annahmen!$B$25))+B15*(Annahmen!$B$26+C7*(Annahmen!$B$35-Annahmen!$B$26))+B16*(Annahmen!$B$27+C7*(Annahmen!$B$36-Annahmen!$B$27))+B17*(Annahmen!$B$28+C7*(Annahmen!$B$37-Annahmen!$B$28))</f>
        <v>19.25</v>
      </c>
      <c r="D9" s="22" t="n">
        <f aca="false">C14*(Annahmen!$B$25+D7*(Annahmen!$B$34-Annahmen!$B$25))+C15*(Annahmen!$B$26+D7*(Annahmen!$B$35-Annahmen!$B$26))+C16*(Annahmen!$B$27+D7*(Annahmen!$B$36-Annahmen!$B$27))+C17*(Annahmen!$B$28+D7*(Annahmen!$B$37-Annahmen!$B$28))</f>
        <v>19.969</v>
      </c>
      <c r="E9" s="22" t="n">
        <f aca="false">D14*(Annahmen!$B$25+E7*(Annahmen!$B$34-Annahmen!$B$25))+D15*(Annahmen!$B$26+E7*(Annahmen!$B$35-Annahmen!$B$26))+D16*(Annahmen!$B$27+E7*(Annahmen!$B$36-Annahmen!$B$27))+D17*(Annahmen!$B$28+E7*(Annahmen!$B$37-Annahmen!$B$28))</f>
        <v>32.9791766666667</v>
      </c>
      <c r="F9" s="22" t="n">
        <f aca="false">E14*(Annahmen!$B$25+F7*(Annahmen!$B$34-Annahmen!$B$25))+E15*(Annahmen!$B$26+F7*(Annahmen!$B$35-Annahmen!$B$26))+E16*(Annahmen!$B$27+F7*(Annahmen!$B$36-Annahmen!$B$27))+E17*(Annahmen!$B$28+F7*(Annahmen!$B$37-Annahmen!$B$28))</f>
        <v>45.6922362333333</v>
      </c>
      <c r="G9" s="22" t="n">
        <f aca="false">F14*(Annahmen!$B$25+G7*(Annahmen!$B$34-Annahmen!$B$25))+F15*(Annahmen!$B$26+G7*(Annahmen!$B$35-Annahmen!$B$26))+F16*(Annahmen!$B$27+G7*(Annahmen!$B$36-Annahmen!$B$27))+F17*(Annahmen!$B$28+G7*(Annahmen!$B$37-Annahmen!$B$28))</f>
        <v>58.1152547176667</v>
      </c>
      <c r="H9" s="22" t="n">
        <f aca="false">G14*(Annahmen!$B$25+H7*(Annahmen!$B$34-Annahmen!$B$25))+G15*(Annahmen!$B$26+H7*(Annahmen!$B$35-Annahmen!$B$26))+G16*(Annahmen!$B$27+H7*(Annahmen!$B$36-Annahmen!$B$27))+G17*(Annahmen!$B$28+H7*(Annahmen!$B$37-Annahmen!$B$28))</f>
        <v>70.2551323440233</v>
      </c>
      <c r="I9" s="22" t="n">
        <f aca="false">H14*(Annahmen!$B$25+I7*(Annahmen!$B$34-Annahmen!$B$25))+H15*(Annahmen!$B$26+I7*(Annahmen!$B$35-Annahmen!$B$26))+H16*(Annahmen!$B$27+I7*(Annahmen!$B$36-Annahmen!$B$27))+H17*(Annahmen!$B$28+I7*(Annahmen!$B$37-Annahmen!$B$28))</f>
        <v>82.1185980901318</v>
      </c>
      <c r="J9" s="22" t="n">
        <f aca="false">I14*(Annahmen!$B$25+J7*(Annahmen!$B$34-Annahmen!$B$25))+I15*(Annahmen!$B$26+J7*(Annahmen!$B$35-Annahmen!$B$26))+I16*(Annahmen!$B$27+J7*(Annahmen!$B$36-Annahmen!$B$27))+I17*(Annahmen!$B$28+J7*(Annahmen!$B$37-Annahmen!$B$28))</f>
        <v>94.3455474452229</v>
      </c>
      <c r="K9" s="22" t="n">
        <f aca="false">J14*(Annahmen!$B$25+K7*(Annahmen!$B$34-Annahmen!$B$25))+J15*(Annahmen!$B$26+K7*(Annahmen!$B$35-Annahmen!$B$26))+J16*(Annahmen!$B$27+K7*(Annahmen!$B$36-Annahmen!$B$27))+J17*(Annahmen!$B$28+K7*(Annahmen!$B$37-Annahmen!$B$28))</f>
        <v>106.18604671631</v>
      </c>
      <c r="L9" s="22" t="n">
        <f aca="false">K14*(Annahmen!$B$25+L7*(Annahmen!$B$34-Annahmen!$B$25))+K15*(Annahmen!$B$26+L7*(Annahmen!$B$35-Annahmen!$B$26))+K16*(Annahmen!$B$27+L7*(Annahmen!$B$36-Annahmen!$B$27))+K17*(Annahmen!$B$28+L7*(Annahmen!$B$37-Annahmen!$B$28))</f>
        <v>115.863347902759</v>
      </c>
      <c r="M9" s="22" t="n">
        <f aca="false">L14*(Annahmen!$B$25+M7*(Annahmen!$B$34-Annahmen!$B$25))+L15*(Annahmen!$B$26+M7*(Annahmen!$B$35-Annahmen!$B$26))+L16*(Annahmen!$B$27+M7*(Annahmen!$B$36-Annahmen!$B$27))+L17*(Annahmen!$B$28+M7*(Annahmen!$B$37-Annahmen!$B$28))</f>
        <v>123.370530256</v>
      </c>
      <c r="N9" s="22" t="n">
        <f aca="false">M14*(Annahmen!$B$25+N7*(Annahmen!$B$34-Annahmen!$B$25))+M15*(Annahmen!$B$26+N7*(Annahmen!$B$35-Annahmen!$B$26))+M16*(Annahmen!$B$27+N7*(Annahmen!$B$36-Annahmen!$B$27))+M17*(Annahmen!$B$28+N7*(Annahmen!$B$37-Annahmen!$B$28))</f>
        <v>129.194483070817</v>
      </c>
      <c r="O9" s="22" t="n">
        <f aca="false">N14*(Annahmen!$B$25+O7*(Annahmen!$B$34-Annahmen!$B$25))+N15*(Annahmen!$B$26+O7*(Annahmen!$B$35-Annahmen!$B$26))+N16*(Annahmen!$B$27+O7*(Annahmen!$B$36-Annahmen!$B$27))+N17*(Annahmen!$B$28+O7*(Annahmen!$B$37-Annahmen!$B$28))</f>
        <v>133.712859551788</v>
      </c>
      <c r="P9" s="22" t="n">
        <f aca="false">O14*(Annahmen!$B$25+P7*(Annahmen!$B$34-Annahmen!$B$25))+O15*(Annahmen!$B$26+P7*(Annahmen!$B$35-Annahmen!$B$26))+O16*(Annahmen!$B$27+P7*(Annahmen!$B$36-Annahmen!$B$27))+O17*(Annahmen!$B$28+P7*(Annahmen!$B$37-Annahmen!$B$28))</f>
        <v>137.218584053809</v>
      </c>
      <c r="Q9" s="22" t="n">
        <f aca="false">P14*(Annahmen!$B$25+Q7*(Annahmen!$B$34-Annahmen!$B$25))+P15*(Annahmen!$B$26+Q7*(Annahmen!$B$35-Annahmen!$B$26))+P16*(Annahmen!$B$27+Q7*(Annahmen!$B$36-Annahmen!$B$27))+P17*(Annahmen!$B$28+Q7*(Annahmen!$B$37-Annahmen!$B$28))</f>
        <v>139.938861121762</v>
      </c>
      <c r="R9" s="22" t="n">
        <f aca="false">Q14*(Annahmen!$B$25+R7*(Annahmen!$B$34-Annahmen!$B$25))+Q15*(Annahmen!$B$26+R7*(Annahmen!$B$35-Annahmen!$B$26))+Q16*(Annahmen!$B$27+R7*(Annahmen!$B$36-Annahmen!$B$27))+Q17*(Annahmen!$B$28+R7*(Annahmen!$B$37-Annahmen!$B$28))</f>
        <v>142.049919849701</v>
      </c>
      <c r="S9" s="22" t="n">
        <f aca="false">R14*(Annahmen!$B$25+S7*(Annahmen!$B$34-Annahmen!$B$25))+R15*(Annahmen!$B$26+S7*(Annahmen!$B$35-Annahmen!$B$26))+R16*(Annahmen!$B$27+S7*(Annahmen!$B$36-Annahmen!$B$27))+R17*(Annahmen!$B$28+S7*(Annahmen!$B$37-Annahmen!$B$28))</f>
        <v>143.6884503399</v>
      </c>
      <c r="T9" s="22" t="n">
        <f aca="false">S14*(Annahmen!$B$25+T7*(Annahmen!$B$34-Annahmen!$B$25))+S15*(Annahmen!$B$26+T7*(Annahmen!$B$35-Annahmen!$B$26))+S16*(Annahmen!$B$27+T7*(Annahmen!$B$36-Annahmen!$B$27))+S17*(Annahmen!$B$28+T7*(Annahmen!$B$37-Annahmen!$B$28))</f>
        <v>144.960474388678</v>
      </c>
      <c r="U9" s="22" t="n">
        <f aca="false">T14*(Annahmen!$B$25+U7*(Annahmen!$B$34-Annahmen!$B$25))+T15*(Annahmen!$B$26+U7*(Annahmen!$B$35-Annahmen!$B$26))+T16*(Annahmen!$B$27+U7*(Annahmen!$B$36-Annahmen!$B$27))+T17*(Annahmen!$B$28+U7*(Annahmen!$B$37-Annahmen!$B$28))</f>
        <v>145.948226029886</v>
      </c>
      <c r="V9" s="22" t="n">
        <f aca="false">U14*(Annahmen!$B$25+V7*(Annahmen!$B$34-Annahmen!$B$25))+U15*(Annahmen!$B$26+V7*(Annahmen!$B$35-Annahmen!$B$26))+U16*(Annahmen!$B$27+V7*(Annahmen!$B$36-Annahmen!$B$27))+U17*(Annahmen!$B$28+V7*(Annahmen!$B$37-Annahmen!$B$28))</f>
        <v>146.715488424304</v>
      </c>
      <c r="W9" s="22" t="n">
        <f aca="false">V14*(Annahmen!$B$25+W7*(Annahmen!$B$34-Annahmen!$B$25))+V15*(Annahmen!$B$26+W7*(Annahmen!$B$35-Annahmen!$B$26))+V16*(Annahmen!$B$27+W7*(Annahmen!$B$36-Annahmen!$B$27))+V17*(Annahmen!$B$28+W7*(Annahmen!$B$37-Annahmen!$B$28))</f>
        <v>147.311733413625</v>
      </c>
      <c r="X9" s="22" t="n">
        <f aca="false">W14*(Annahmen!$B$25+X7*(Annahmen!$B$34-Annahmen!$B$25))+W15*(Annahmen!$B$26+X7*(Annahmen!$B$35-Annahmen!$B$26))+W16*(Annahmen!$B$27+X7*(Annahmen!$B$36-Annahmen!$B$27))+W17*(Annahmen!$B$28+X7*(Annahmen!$B$37-Annahmen!$B$28))</f>
        <v>147.775332361198</v>
      </c>
      <c r="Y9" s="22" t="n">
        <f aca="false">X14*(Annahmen!$B$25+Y7*(Annahmen!$B$34-Annahmen!$B$25))+X15*(Annahmen!$B$26+Y7*(Annahmen!$B$35-Annahmen!$B$26))+X16*(Annahmen!$B$27+Y7*(Annahmen!$B$36-Annahmen!$B$27))+X17*(Annahmen!$B$28+Y7*(Annahmen!$B$37-Annahmen!$B$28))</f>
        <v>148.136046636375</v>
      </c>
    </row>
    <row r="10" customFormat="false" ht="15" hidden="false" customHeight="false" outlineLevel="0" collapsed="false">
      <c r="A10" s="5" t="s">
        <v>135</v>
      </c>
      <c r="B10" s="22" t="n">
        <f aca="false">MAX(0,(Annahmen!$B$41-B9)/B8)</f>
        <v>4.58426966292135</v>
      </c>
      <c r="C10" s="22" t="n">
        <f aca="false">MAX(0,(Annahmen!$B$41-C9)/C8)</f>
        <v>4.06516853932584</v>
      </c>
      <c r="D10" s="22" t="n">
        <f aca="false">MAX(0,(Annahmen!$B$41-D9)/D8)</f>
        <v>7.88253940455342</v>
      </c>
      <c r="E10" s="22" t="n">
        <f aca="false">MAX(0,(Annahmen!$B$41-E9)/E8)</f>
        <v>7.19899246935202</v>
      </c>
      <c r="F10" s="22" t="n">
        <f aca="false">MAX(0,(Annahmen!$B$41-F9)/F8)</f>
        <v>6.53105588966725</v>
      </c>
      <c r="G10" s="22" t="n">
        <f aca="false">MAX(0,(Annahmen!$B$41-G9)/G8)</f>
        <v>5.87835789574431</v>
      </c>
      <c r="H10" s="22" t="n">
        <f aca="false">MAX(0,(Annahmen!$B$41-H9)/H8)</f>
        <v>5.2405359539042</v>
      </c>
      <c r="I10" s="22" t="n">
        <f aca="false">MAX(0,(Annahmen!$B$41-I9)/I8)</f>
        <v>4.80883184185326</v>
      </c>
      <c r="J10" s="22" t="n">
        <f aca="false">MAX(0,(Annahmen!$B$41-J9)/J8)</f>
        <v>4.1397785255692</v>
      </c>
      <c r="K10" s="22" t="n">
        <f aca="false">MAX(0,(Annahmen!$B$41-K9)/K8)</f>
        <v>3.49187158871083</v>
      </c>
      <c r="L10" s="22" t="n">
        <f aca="false">MAX(0,(Annahmen!$B$41-L9)/L8)</f>
        <v>2.96233390408981</v>
      </c>
      <c r="M10" s="22" t="n">
        <f aca="false">MAX(0,(Annahmen!$B$41-M9)/M8)</f>
        <v>2.55154417203832</v>
      </c>
      <c r="N10" s="22" t="n">
        <f aca="false">MAX(0,(Annahmen!$B$41-N9)/N8)</f>
        <v>2.2328600234847</v>
      </c>
      <c r="O10" s="22" t="n">
        <f aca="false">MAX(0,(Annahmen!$B$41-O9)/O8)</f>
        <v>1.98561644039463</v>
      </c>
      <c r="P10" s="22" t="n">
        <f aca="false">MAX(0,(Annahmen!$B$41-P9)/P8)</f>
        <v>1.79378473029775</v>
      </c>
      <c r="Q10" s="22" t="n">
        <f aca="false">MAX(0,(Annahmen!$B$41-Q9)/Q8)</f>
        <v>1.64493235995832</v>
      </c>
      <c r="R10" s="22" t="n">
        <f aca="false">MAX(0,(Annahmen!$B$41-R9)/R8)</f>
        <v>1.52941615049516</v>
      </c>
      <c r="S10" s="22" t="n">
        <f aca="false">MAX(0,(Annahmen!$B$41-S9)/S8)</f>
        <v>1.43975647934882</v>
      </c>
      <c r="T10" s="22" t="n">
        <f aca="false">MAX(0,(Annahmen!$B$41-T9)/T8)</f>
        <v>1.3701518802365</v>
      </c>
      <c r="U10" s="22" t="n">
        <f aca="false">MAX(0,(Annahmen!$B$41-U9)/U8)</f>
        <v>1.31610254282428</v>
      </c>
      <c r="V10" s="22" t="n">
        <f aca="false">MAX(0,(Annahmen!$B$41-V9)/V8)</f>
        <v>1.27411828047582</v>
      </c>
      <c r="W10" s="22" t="n">
        <f aca="false">MAX(0,(Annahmen!$B$41-W9)/W8)</f>
        <v>1.24149201567033</v>
      </c>
      <c r="X10" s="22" t="n">
        <f aca="false">MAX(0,(Annahmen!$B$41-X9)/X8)</f>
        <v>1.21612408420259</v>
      </c>
      <c r="Y10" s="22" t="n">
        <f aca="false">MAX(0,(Annahmen!$B$41-Y9)/Y8)</f>
        <v>1.19638595696992</v>
      </c>
    </row>
    <row r="11" customFormat="false" ht="15" hidden="false" customHeight="false" outlineLevel="0" collapsed="false">
      <c r="A11" s="7" t="s">
        <v>136</v>
      </c>
      <c r="B11" s="21" t="n">
        <f aca="false">MIN(B5,B10)</f>
        <v>3</v>
      </c>
      <c r="C11" s="21" t="n">
        <f aca="false">MIN(C5,C10)</f>
        <v>3</v>
      </c>
      <c r="D11" s="21" t="n">
        <f aca="false">MIN(D5,D10)</f>
        <v>4</v>
      </c>
      <c r="E11" s="21" t="n">
        <f aca="false">MIN(E5,E10)</f>
        <v>4</v>
      </c>
      <c r="F11" s="21" t="n">
        <f aca="false">MIN(F5,F10)</f>
        <v>4</v>
      </c>
      <c r="G11" s="21" t="n">
        <f aca="false">MIN(G5,G10)</f>
        <v>4</v>
      </c>
      <c r="H11" s="21" t="n">
        <f aca="false">MIN(H5,H10)</f>
        <v>4</v>
      </c>
      <c r="I11" s="21" t="n">
        <f aca="false">MIN(I5,I10)</f>
        <v>4</v>
      </c>
      <c r="J11" s="21" t="n">
        <f aca="false">MIN(J5,J10)</f>
        <v>4</v>
      </c>
      <c r="K11" s="21" t="n">
        <f aca="false">MIN(K5,K10)</f>
        <v>3.49187158871083</v>
      </c>
      <c r="L11" s="21" t="n">
        <f aca="false">MIN(L5,L10)</f>
        <v>2.96233390408981</v>
      </c>
      <c r="M11" s="21" t="n">
        <f aca="false">MIN(M5,M10)</f>
        <v>2.55154417203832</v>
      </c>
      <c r="N11" s="21" t="n">
        <f aca="false">MIN(N5,N10)</f>
        <v>2.2328600234847</v>
      </c>
      <c r="O11" s="21" t="n">
        <f aca="false">MIN(O5,O10)</f>
        <v>1.98561644039463</v>
      </c>
      <c r="P11" s="21" t="n">
        <f aca="false">MIN(P5,P10)</f>
        <v>1.79378473029775</v>
      </c>
      <c r="Q11" s="21" t="n">
        <f aca="false">MIN(Q5,Q10)</f>
        <v>1.64493235995832</v>
      </c>
      <c r="R11" s="21" t="n">
        <f aca="false">MIN(R5,R10)</f>
        <v>1.52941615049516</v>
      </c>
      <c r="S11" s="21" t="n">
        <f aca="false">MIN(S5,S10)</f>
        <v>1.43975647934882</v>
      </c>
      <c r="T11" s="21" t="n">
        <f aca="false">MIN(T5,T10)</f>
        <v>1.3701518802365</v>
      </c>
      <c r="U11" s="21" t="n">
        <f aca="false">MIN(U5,U10)</f>
        <v>1.31610254282428</v>
      </c>
      <c r="V11" s="21" t="n">
        <f aca="false">MIN(V5,V10)</f>
        <v>1.27411828047582</v>
      </c>
      <c r="W11" s="21" t="n">
        <f aca="false">MIN(W5,W10)</f>
        <v>1.24149201567033</v>
      </c>
      <c r="X11" s="21" t="n">
        <f aca="false">MIN(X5,X10)</f>
        <v>1.21612408420259</v>
      </c>
      <c r="Y11" s="21" t="n">
        <f aca="false">MIN(Y5,Y10)</f>
        <v>1.19638595696992</v>
      </c>
    </row>
    <row r="12" customFormat="false" ht="15" hidden="false" customHeight="false" outlineLevel="0" collapsed="false">
      <c r="A12" s="5" t="s">
        <v>137</v>
      </c>
      <c r="B12" s="22" t="n">
        <f aca="false">0+B11</f>
        <v>3</v>
      </c>
      <c r="C12" s="22" t="n">
        <f aca="false">B12+C11</f>
        <v>6</v>
      </c>
      <c r="D12" s="22" t="n">
        <f aca="false">C12+D11</f>
        <v>10</v>
      </c>
      <c r="E12" s="22" t="n">
        <f aca="false">D12+E11</f>
        <v>14</v>
      </c>
      <c r="F12" s="22" t="n">
        <f aca="false">E12+F11</f>
        <v>18</v>
      </c>
      <c r="G12" s="22" t="n">
        <f aca="false">F12+G11</f>
        <v>22</v>
      </c>
      <c r="H12" s="22" t="n">
        <f aca="false">G12+H11</f>
        <v>26</v>
      </c>
      <c r="I12" s="22" t="n">
        <f aca="false">H12+I11</f>
        <v>30</v>
      </c>
      <c r="J12" s="22" t="n">
        <f aca="false">I12+J11</f>
        <v>34</v>
      </c>
      <c r="K12" s="22" t="n">
        <f aca="false">J12+K11</f>
        <v>37.4918715887108</v>
      </c>
      <c r="L12" s="22" t="n">
        <f aca="false">K12+L11</f>
        <v>40.4542054928006</v>
      </c>
      <c r="M12" s="22" t="n">
        <f aca="false">L12+M11</f>
        <v>43.005749664839</v>
      </c>
      <c r="N12" s="22" t="n">
        <f aca="false">M12+N11</f>
        <v>45.2386096883237</v>
      </c>
      <c r="O12" s="22" t="n">
        <f aca="false">N12+O11</f>
        <v>47.2242261287183</v>
      </c>
      <c r="P12" s="22" t="n">
        <f aca="false">O12+P11</f>
        <v>49.018010859016</v>
      </c>
      <c r="Q12" s="22" t="n">
        <f aca="false">P12+Q11</f>
        <v>50.6629432189744</v>
      </c>
      <c r="R12" s="22" t="n">
        <f aca="false">Q12+R11</f>
        <v>52.1923593694695</v>
      </c>
      <c r="S12" s="22" t="n">
        <f aca="false">R12+S11</f>
        <v>53.6321158488183</v>
      </c>
      <c r="T12" s="22" t="n">
        <f aca="false">S12+T11</f>
        <v>55.0022677290548</v>
      </c>
      <c r="U12" s="22" t="n">
        <f aca="false">T12+U11</f>
        <v>56.3183702718791</v>
      </c>
      <c r="V12" s="22" t="n">
        <f aca="false">U12+V11</f>
        <v>57.5924885523549</v>
      </c>
      <c r="W12" s="22" t="n">
        <f aca="false">V12+W11</f>
        <v>58.8339805680253</v>
      </c>
      <c r="X12" s="22" t="n">
        <f aca="false">W12+X11</f>
        <v>60.0501046522279</v>
      </c>
      <c r="Y12" s="22" t="n">
        <f aca="false">X12+Y11</f>
        <v>61.2464906091978</v>
      </c>
    </row>
    <row r="13" customFormat="false" ht="15" hidden="false" customHeight="fals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customFormat="false" ht="15" hidden="false" customHeight="false" outlineLevel="0" collapsed="false">
      <c r="A14" s="5" t="s">
        <v>138</v>
      </c>
      <c r="B14" s="22" t="n">
        <f aca="false">0*(1-Annahmen!$B$17)+B11*Annahmen!$B$12/(1-Annahmen!$B$15*(1-B6))</f>
        <v>1</v>
      </c>
      <c r="C14" s="22" t="n">
        <f aca="false">B14*(1-Annahmen!$B$17)+C11*Annahmen!$B$12/(1-Annahmen!$B$15*(1-C6))</f>
        <v>1.99</v>
      </c>
      <c r="D14" s="22" t="n">
        <f aca="false">C14*(1-Annahmen!$B$17)+D11*Annahmen!$B$12/(1-Annahmen!$B$15*(1-D6))</f>
        <v>3.30343333333333</v>
      </c>
      <c r="E14" s="22" t="n">
        <f aca="false">D14*(1-Annahmen!$B$17)+E11*Annahmen!$B$12/(1-Annahmen!$B$15*(1-E6))</f>
        <v>4.60373233333333</v>
      </c>
      <c r="F14" s="22" t="n">
        <f aca="false">E14*(1-Annahmen!$B$17)+F11*Annahmen!$B$12/(1-Annahmen!$B$15*(1-F6))</f>
        <v>5.89102834333333</v>
      </c>
      <c r="G14" s="22" t="n">
        <f aca="false">F14*(1-Annahmen!$B$17)+G11*Annahmen!$B$12/(1-Annahmen!$B$15*(1-G6))</f>
        <v>7.16545139323333</v>
      </c>
      <c r="H14" s="22" t="n">
        <f aca="false">G14*(1-Annahmen!$B$17)+H11*Annahmen!$B$12/(1-Annahmen!$B$15*(1-H6))</f>
        <v>8.42713021263433</v>
      </c>
      <c r="I14" s="22" t="n">
        <f aca="false">H14*(1-Annahmen!$B$17)+I11*Annahmen!$B$12/(1-Annahmen!$B$15*(1-I6))</f>
        <v>9.34285891050799</v>
      </c>
      <c r="J14" s="22" t="n">
        <f aca="false">I14*(1-Annahmen!$B$17)+J11*Annahmen!$B$12/(1-Annahmen!$B$15*(1-J6))</f>
        <v>10.2494303214029</v>
      </c>
      <c r="K14" s="22" t="n">
        <f aca="false">J14*(1-Annahmen!$B$17)+K11*Annahmen!$B$12/(1-Annahmen!$B$15*(1-K6))</f>
        <v>11.0199039153666</v>
      </c>
      <c r="L14" s="22" t="n">
        <f aca="false">K14*(1-Annahmen!$B$17)+L11*Annahmen!$B$12/(1-Annahmen!$B$15*(1-L6))</f>
        <v>11.6502883522354</v>
      </c>
      <c r="M14" s="22" t="n">
        <f aca="false">L14*(1-Annahmen!$B$17)+M11*Annahmen!$B$12/(1-Annahmen!$B$15*(1-M6))</f>
        <v>12.1716715117226</v>
      </c>
      <c r="N14" s="22" t="n">
        <f aca="false">M14*(1-Annahmen!$B$17)+N11*Annahmen!$B$12/(1-Annahmen!$B$15*(1-N6))</f>
        <v>12.6081698024765</v>
      </c>
      <c r="O14" s="22" t="n">
        <f aca="false">N14*(1-Annahmen!$B$17)+O11*Annahmen!$B$12/(1-Annahmen!$B$15*(1-O6))</f>
        <v>12.9784922145504</v>
      </c>
      <c r="P14" s="22" t="n">
        <f aca="false">O14*(1-Annahmen!$B$17)+P11*Annahmen!$B$12/(1-Annahmen!$B$15*(1-P6))</f>
        <v>13.2971534749794</v>
      </c>
      <c r="Q14" s="22" t="n">
        <f aca="false">P14*(1-Annahmen!$B$17)+Q11*Annahmen!$B$12/(1-Annahmen!$B$15*(1-Q6))</f>
        <v>13.5754150302192</v>
      </c>
      <c r="R14" s="22" t="n">
        <f aca="false">Q14*(1-Annahmen!$B$17)+R11*Annahmen!$B$12/(1-Annahmen!$B$15*(1-R6))</f>
        <v>13.8220149175408</v>
      </c>
      <c r="S14" s="22" t="n">
        <f aca="false">R14*(1-Annahmen!$B$17)+S11*Annahmen!$B$12/(1-Annahmen!$B$15*(1-S6))</f>
        <v>14.0437338882026</v>
      </c>
      <c r="T14" s="22" t="n">
        <f aca="false">S14*(1-Annahmen!$B$17)+T11*Annahmen!$B$12/(1-Annahmen!$B$15*(1-T6))</f>
        <v>14.2458345193796</v>
      </c>
      <c r="U14" s="22" t="n">
        <f aca="false">T14*(1-Annahmen!$B$17)+U11*Annahmen!$B$12/(1-Annahmen!$B$15*(1-U6))</f>
        <v>14.4324018098919</v>
      </c>
      <c r="V14" s="22" t="n">
        <f aca="false">U14*(1-Annahmen!$B$17)+V11*Annahmen!$B$12/(1-Annahmen!$B$15*(1-V6))</f>
        <v>14.606607361912</v>
      </c>
      <c r="W14" s="22" t="n">
        <f aca="false">V14*(1-Annahmen!$B$17)+W11*Annahmen!$B$12/(1-Annahmen!$B$15*(1-W6))</f>
        <v>14.7709142922104</v>
      </c>
      <c r="X14" s="22" t="n">
        <f aca="false">W14*(1-Annahmen!$B$17)+X11*Annahmen!$B$12/(1-Annahmen!$B$15*(1-X6))</f>
        <v>14.927236170339</v>
      </c>
      <c r="Y14" s="22" t="n">
        <f aca="false">X14*(1-Annahmen!$B$17)+Y11*Annahmen!$B$12/(1-Annahmen!$B$15*(1-Y6))</f>
        <v>15.0770602978781</v>
      </c>
    </row>
    <row r="15" customFormat="false" ht="15" hidden="false" customHeight="false" outlineLevel="0" collapsed="false">
      <c r="A15" s="5" t="s">
        <v>139</v>
      </c>
      <c r="B15" s="22" t="n">
        <f aca="false">0*(1-Annahmen!$B$18)+B11*Annahmen!$B$13/(1-Annahmen!$B$15*(1-B6))</f>
        <v>1</v>
      </c>
      <c r="C15" s="22" t="n">
        <f aca="false">B15*(1-Annahmen!$B$18)+C11*Annahmen!$B$13/(1-Annahmen!$B$15*(1-C6))</f>
        <v>1.98</v>
      </c>
      <c r="D15" s="22" t="n">
        <f aca="false">C15*(1-Annahmen!$B$18)+D11*Annahmen!$B$13/(1-Annahmen!$B$15*(1-D6))</f>
        <v>3.27373333333333</v>
      </c>
      <c r="E15" s="22" t="n">
        <f aca="false">D15*(1-Annahmen!$B$18)+E11*Annahmen!$B$13/(1-Annahmen!$B$15*(1-E6))</f>
        <v>4.541592</v>
      </c>
      <c r="F15" s="22" t="n">
        <f aca="false">E15*(1-Annahmen!$B$18)+F11*Annahmen!$B$13/(1-Annahmen!$B$15*(1-F6))</f>
        <v>5.78409349333333</v>
      </c>
      <c r="G15" s="22" t="n">
        <f aca="false">F15*(1-Annahmen!$B$18)+G11*Annahmen!$B$13/(1-Annahmen!$B$15*(1-G6))</f>
        <v>7.0017449568</v>
      </c>
      <c r="H15" s="22" t="n">
        <f aca="false">G15*(1-Annahmen!$B$18)+H11*Annahmen!$B$13/(1-Annahmen!$B$15*(1-H6))</f>
        <v>8.19504339099733</v>
      </c>
      <c r="I15" s="22" t="n">
        <f aca="false">H15*(1-Annahmen!$B$18)+I11*Annahmen!$B$13/(1-Annahmen!$B$15*(1-I6))</f>
        <v>9.03114252317739</v>
      </c>
      <c r="J15" s="22" t="n">
        <f aca="false">I15*(1-Annahmen!$B$18)+J11*Annahmen!$B$13/(1-Annahmen!$B$15*(1-J6))</f>
        <v>9.85051967271384</v>
      </c>
      <c r="K15" s="22" t="n">
        <f aca="false">J15*(1-Annahmen!$B$18)+K11*Annahmen!$B$13/(1-Annahmen!$B$15*(1-K6))</f>
        <v>10.5264771764373</v>
      </c>
      <c r="L15" s="22" t="n">
        <f aca="false">K15*(1-Annahmen!$B$18)+L11*Annahmen!$B$13/(1-Annahmen!$B$15*(1-L6))</f>
        <v>11.056531108931</v>
      </c>
      <c r="M15" s="22" t="n">
        <f aca="false">L15*(1-Annahmen!$B$18)+M11*Annahmen!$B$13/(1-Annahmen!$B$15*(1-M6))</f>
        <v>11.4732865297619</v>
      </c>
      <c r="N15" s="22" t="n">
        <f aca="false">M15*(1-Annahmen!$B$18)+N11*Annahmen!$B$13/(1-Annahmen!$B$15*(1-N6))</f>
        <v>11.8020358050379</v>
      </c>
      <c r="O15" s="22" t="n">
        <f aca="false">N15*(1-Annahmen!$B$18)+O11*Annahmen!$B$13/(1-Annahmen!$B$15*(1-O6))</f>
        <v>12.0623991990358</v>
      </c>
      <c r="P15" s="22" t="n">
        <f aca="false">O15*(1-Annahmen!$B$18)+P11*Annahmen!$B$13/(1-Annahmen!$B$15*(1-P6))</f>
        <v>12.2695973976295</v>
      </c>
      <c r="Q15" s="22" t="n">
        <f aca="false">P15*(1-Annahmen!$B$18)+Q11*Annahmen!$B$13/(1-Annahmen!$B$15*(1-Q6))</f>
        <v>12.4354385396665</v>
      </c>
      <c r="R15" s="22" t="n">
        <f aca="false">Q15*(1-Annahmen!$B$18)+R11*Annahmen!$B$13/(1-Annahmen!$B$15*(1-R6))</f>
        <v>12.5690838064969</v>
      </c>
      <c r="S15" s="22" t="n">
        <f aca="false">R15*(1-Annahmen!$B$18)+S11*Annahmen!$B$13/(1-Annahmen!$B$15*(1-S6))</f>
        <v>12.6776412502042</v>
      </c>
      <c r="T15" s="22" t="n">
        <f aca="false">S15*(1-Annahmen!$B$18)+T11*Annahmen!$B$13/(1-Annahmen!$B$15*(1-T6))</f>
        <v>12.7666263952592</v>
      </c>
      <c r="U15" s="22" t="n">
        <f aca="false">T15*(1-Annahmen!$B$18)+U11*Annahmen!$B$13/(1-Annahmen!$B$15*(1-U6))</f>
        <v>12.8403195030601</v>
      </c>
      <c r="V15" s="22" t="n">
        <f aca="false">U15*(1-Annahmen!$B$18)+V11*Annahmen!$B$13/(1-Annahmen!$B$15*(1-V6))</f>
        <v>12.9020426831179</v>
      </c>
      <c r="W15" s="22" t="n">
        <f aca="false">V15*(1-Annahmen!$B$18)+W11*Annahmen!$B$13/(1-Annahmen!$B$15*(1-W6))</f>
        <v>12.9543748333731</v>
      </c>
      <c r="X15" s="22" t="n">
        <f aca="false">W15*(1-Annahmen!$B$18)+X11*Annahmen!$B$13/(1-Annahmen!$B$15*(1-X6))</f>
        <v>12.9993183577563</v>
      </c>
      <c r="Y15" s="22" t="n">
        <f aca="false">X15*(1-Annahmen!$B$18)+Y11*Annahmen!$B$13/(1-Annahmen!$B$15*(1-Y6))</f>
        <v>13.0384284798436</v>
      </c>
    </row>
    <row r="16" customFormat="false" ht="15" hidden="false" customHeight="false" outlineLevel="0" collapsed="false">
      <c r="A16" s="5" t="s">
        <v>140</v>
      </c>
      <c r="B16" s="22" t="n">
        <f aca="false">0*(1-Annahmen!$B$19)+B11*Annahmen!$B$14/(1-Annahmen!$B$15*(1-B6))</f>
        <v>1</v>
      </c>
      <c r="C16" s="22" t="n">
        <f aca="false">B16*(1-Annahmen!$B$19)+C11*Annahmen!$B$14/(1-Annahmen!$B$15*(1-C6))</f>
        <v>1.97</v>
      </c>
      <c r="D16" s="22" t="n">
        <f aca="false">C16*(1-Annahmen!$B$19)+D11*Annahmen!$B$14/(1-Annahmen!$B$15*(1-D6))</f>
        <v>3.24423333333333</v>
      </c>
      <c r="E16" s="22" t="n">
        <f aca="false">D16*(1-Annahmen!$B$19)+E11*Annahmen!$B$14/(1-Annahmen!$B$15*(1-E6))</f>
        <v>4.48023966666667</v>
      </c>
      <c r="F16" s="22" t="n">
        <f aca="false">E16*(1-Annahmen!$B$19)+F11*Annahmen!$B$14/(1-Annahmen!$B$15*(1-F6))</f>
        <v>5.67916581</v>
      </c>
      <c r="G16" s="22" t="n">
        <f aca="false">F16*(1-Annahmen!$B$19)+G11*Annahmen!$B$14/(1-Annahmen!$B$15*(1-G6))</f>
        <v>6.84212416903333</v>
      </c>
      <c r="H16" s="22" t="n">
        <f aca="false">G16*(1-Annahmen!$B$19)+H11*Annahmen!$B$14/(1-Annahmen!$B$15*(1-H6))</f>
        <v>7.97019377729566</v>
      </c>
      <c r="I16" s="22" t="n">
        <f aca="false">H16*(1-Annahmen!$B$19)+I11*Annahmen!$B$14/(1-Annahmen!$B$15*(1-I6))</f>
        <v>8.73108796397679</v>
      </c>
      <c r="J16" s="22" t="n">
        <f aca="false">I16*(1-Annahmen!$B$19)+J11*Annahmen!$B$14/(1-Annahmen!$B$15*(1-J6))</f>
        <v>9.46915532505749</v>
      </c>
      <c r="K16" s="22" t="n">
        <f aca="false">J16*(1-Annahmen!$B$19)+K11*Annahmen!$B$14/(1-Annahmen!$B$15*(1-K6))</f>
        <v>10.0580485624835</v>
      </c>
      <c r="L16" s="22" t="n">
        <f aca="false">K16*(1-Annahmen!$B$19)+L11*Annahmen!$B$14/(1-Annahmen!$B$15*(1-L6))</f>
        <v>10.4968905816314</v>
      </c>
      <c r="M16" s="22" t="n">
        <f aca="false">L16*(1-Annahmen!$B$19)+M11*Annahmen!$B$14/(1-Annahmen!$B$15*(1-M6))</f>
        <v>10.8198699071921</v>
      </c>
      <c r="N16" s="22" t="n">
        <f aca="false">M16*(1-Annahmen!$B$19)+N11*Annahmen!$B$14/(1-Annahmen!$B$15*(1-N6))</f>
        <v>11.0534888158475</v>
      </c>
      <c r="O16" s="22" t="n">
        <f aca="false">N16*(1-Annahmen!$B$19)+O11*Annahmen!$B$14/(1-Annahmen!$B$15*(1-O6))</f>
        <v>11.2182882614707</v>
      </c>
      <c r="P16" s="22" t="n">
        <f aca="false">O16*(1-Annahmen!$B$19)+P11*Annahmen!$B$14/(1-Annahmen!$B$15*(1-P6))</f>
        <v>11.330185796201</v>
      </c>
      <c r="Q16" s="22" t="n">
        <f aca="false">P16*(1-Annahmen!$B$19)+Q11*Annahmen!$B$14/(1-Annahmen!$B$15*(1-Q6))</f>
        <v>11.4015133123046</v>
      </c>
      <c r="R16" s="22" t="n">
        <f aca="false">Q16*(1-Annahmen!$B$19)+R11*Annahmen!$B$14/(1-Annahmen!$B$15*(1-R6))</f>
        <v>11.4418219505592</v>
      </c>
      <c r="S16" s="22" t="n">
        <f aca="false">R16*(1-Annahmen!$B$19)+S11*Annahmen!$B$14/(1-Annahmen!$B$15*(1-S6))</f>
        <v>11.4585064118796</v>
      </c>
      <c r="T16" s="22" t="n">
        <f aca="false">S16*(1-Annahmen!$B$19)+T11*Annahmen!$B$14/(1-Annahmen!$B$15*(1-T6))</f>
        <v>11.4572891895824</v>
      </c>
      <c r="U16" s="22" t="n">
        <f aca="false">T16*(1-Annahmen!$B$19)+U11*Annahmen!$B$14/(1-Annahmen!$B$15*(1-U6))</f>
        <v>11.442596149601</v>
      </c>
      <c r="V16" s="22" t="n">
        <f aca="false">U16*(1-Annahmen!$B$19)+V11*Annahmen!$B$14/(1-Annahmen!$B$15*(1-V6))</f>
        <v>11.4178478352319</v>
      </c>
      <c r="W16" s="22" t="n">
        <f aca="false">V16*(1-Annahmen!$B$19)+W11*Annahmen!$B$14/(1-Annahmen!$B$15*(1-W6))</f>
        <v>11.3856854040925</v>
      </c>
      <c r="X16" s="22" t="n">
        <f aca="false">W16*(1-Annahmen!$B$19)+X11*Annahmen!$B$14/(1-Annahmen!$B$15*(1-X6))</f>
        <v>11.3481458630204</v>
      </c>
      <c r="Y16" s="22" t="n">
        <f aca="false">X16*(1-Annahmen!$B$19)+Y11*Annahmen!$B$14/(1-Annahmen!$B$15*(1-Y6))</f>
        <v>11.3067979763723</v>
      </c>
    </row>
    <row r="17" customFormat="false" ht="15" hidden="false" customHeight="false" outlineLevel="0" collapsed="false">
      <c r="A17" s="5" t="s">
        <v>141</v>
      </c>
      <c r="B17" s="22" t="n">
        <f aca="false">0*(1-Annahmen!$B$20)+B11*Annahmen!$B$15*B6</f>
        <v>0</v>
      </c>
      <c r="C17" s="22" t="n">
        <f aca="false">B17*(1-Annahmen!$B$20)+C11*Annahmen!$B$15*C6</f>
        <v>0</v>
      </c>
      <c r="D17" s="22" t="n">
        <f aca="false">C17*(1-Annahmen!$B$20)+D11*Annahmen!$B$15*D6</f>
        <v>0</v>
      </c>
      <c r="E17" s="22" t="n">
        <f aca="false">D17*(1-Annahmen!$B$20)+E11*Annahmen!$B$15*E6</f>
        <v>0</v>
      </c>
      <c r="F17" s="22" t="n">
        <f aca="false">E17*(1-Annahmen!$B$20)+F11*Annahmen!$B$15*F6</f>
        <v>0</v>
      </c>
      <c r="G17" s="22" t="n">
        <f aca="false">F17*(1-Annahmen!$B$20)+G11*Annahmen!$B$15*G6</f>
        <v>0</v>
      </c>
      <c r="H17" s="22" t="n">
        <f aca="false">G17*(1-Annahmen!$B$20)+H11*Annahmen!$B$15*H6</f>
        <v>0</v>
      </c>
      <c r="I17" s="22" t="n">
        <f aca="false">H17*(1-Annahmen!$B$20)+I11*Annahmen!$B$15*I6</f>
        <v>1</v>
      </c>
      <c r="J17" s="22" t="n">
        <f aca="false">I17*(1-Annahmen!$B$20)+J11*Annahmen!$B$15*J6</f>
        <v>1.95</v>
      </c>
      <c r="K17" s="22" t="n">
        <f aca="false">J17*(1-Annahmen!$B$20)+K11*Annahmen!$B$15*K6</f>
        <v>2.72546789717771</v>
      </c>
      <c r="L17" s="22" t="n">
        <f aca="false">K17*(1-Annahmen!$B$20)+L11*Annahmen!$B$15*L6</f>
        <v>3.32977797834127</v>
      </c>
      <c r="M17" s="22" t="n">
        <f aca="false">L17*(1-Annahmen!$B$20)+M11*Annahmen!$B$15*M6</f>
        <v>3.80117512243379</v>
      </c>
      <c r="N17" s="22" t="n">
        <f aca="false">M17*(1-Annahmen!$B$20)+N11*Annahmen!$B$15*N6</f>
        <v>4.16933137218328</v>
      </c>
      <c r="O17" s="22" t="n">
        <f aca="false">N17*(1-Annahmen!$B$20)+O11*Annahmen!$B$15*O6</f>
        <v>4.45726891367277</v>
      </c>
      <c r="P17" s="22" t="n">
        <f aca="false">O17*(1-Annahmen!$B$20)+P11*Annahmen!$B$15*P6</f>
        <v>4.68285165056357</v>
      </c>
      <c r="Q17" s="22" t="n">
        <f aca="false">P17*(1-Annahmen!$B$20)+Q11*Annahmen!$B$15*Q6</f>
        <v>4.85994215802497</v>
      </c>
      <c r="R17" s="22" t="n">
        <f aca="false">Q17*(1-Annahmen!$B$20)+R11*Annahmen!$B$15*R6</f>
        <v>4.99929908774751</v>
      </c>
      <c r="S17" s="22" t="n">
        <f aca="false">R17*(1-Annahmen!$B$20)+S11*Annahmen!$B$15*S6</f>
        <v>5.10927325319734</v>
      </c>
      <c r="T17" s="22" t="n">
        <f aca="false">S17*(1-Annahmen!$B$20)+T11*Annahmen!$B$15*T6</f>
        <v>5.1963475605966</v>
      </c>
      <c r="U17" s="22" t="n">
        <f aca="false">T17*(1-Annahmen!$B$20)+U11*Annahmen!$B$15*U6</f>
        <v>5.26555581827284</v>
      </c>
      <c r="V17" s="22" t="n">
        <f aca="false">U17*(1-Annahmen!$B$20)+V11*Annahmen!$B$15*V6</f>
        <v>5.32080759747815</v>
      </c>
      <c r="W17" s="22" t="n">
        <f aca="false">V17*(1-Annahmen!$B$20)+W11*Annahmen!$B$15*W6</f>
        <v>5.36514022152183</v>
      </c>
      <c r="X17" s="22" t="n">
        <f aca="false">W17*(1-Annahmen!$B$20)+X11*Annahmen!$B$15*X6</f>
        <v>5.40091423149638</v>
      </c>
      <c r="Y17" s="22" t="n">
        <f aca="false">X17*(1-Annahmen!$B$20)+Y11*Annahmen!$B$15*Y6</f>
        <v>5.42996500916404</v>
      </c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customFormat="false" ht="15" hidden="false" customHeight="false" outlineLevel="0" collapsed="false">
      <c r="A19" s="7" t="s">
        <v>142</v>
      </c>
      <c r="B19" s="25" t="n">
        <f aca="false">B14*Annahmen!$B$6+B15*Annahmen!$B$7+B16*Annahmen!$B$9+B17*Annahmen!$B$10</f>
        <v>1779</v>
      </c>
      <c r="C19" s="25" t="n">
        <f aca="false">C14*Annahmen!$B$6+C15*Annahmen!$B$7+C16*Annahmen!$B$9+C17*Annahmen!$B$10</f>
        <v>3517.91</v>
      </c>
      <c r="D19" s="25" t="n">
        <f aca="false">D14*Annahmen!$B$6+D15*Annahmen!$B$7+D16*Annahmen!$B$9+D17*Annahmen!$B$10</f>
        <v>5810.6809</v>
      </c>
      <c r="E19" s="25" t="n">
        <f aca="false">E14*Annahmen!$B$6+E15*Annahmen!$B$7+E16*Annahmen!$B$9+E17*Annahmen!$B$10</f>
        <v>8051.87663766667</v>
      </c>
      <c r="F19" s="25" t="n">
        <f aca="false">F14*Annahmen!$B$6+F15*Annahmen!$B$7+F16*Annahmen!$B$9+F17*Annahmen!$B$10</f>
        <v>10242.7184339567</v>
      </c>
      <c r="G19" s="25" t="n">
        <f aca="false">G14*Annahmen!$B$6+G15*Annahmen!$B$7+G16*Annahmen!$B$9+G17*Annahmen!$B$10</f>
        <v>12384.3972126224</v>
      </c>
      <c r="H19" s="25" t="n">
        <f aca="false">H14*Annahmen!$B$6+H15*Annahmen!$B$7+H16*Annahmen!$B$9+H17*Annahmen!$B$10</f>
        <v>14478.0743841523</v>
      </c>
      <c r="I19" s="25" t="n">
        <f aca="false">I14*Annahmen!$B$6+I15*Annahmen!$B$7+I16*Annahmen!$B$9+I17*Annahmen!$B$10</f>
        <v>16721.8826086741</v>
      </c>
      <c r="J19" s="25" t="n">
        <f aca="false">J14*Annahmen!$B$6+J15*Annahmen!$B$7+J16*Annahmen!$B$9+J17*Annahmen!$B$10</f>
        <v>18893.7898717362</v>
      </c>
      <c r="K19" s="25" t="n">
        <f aca="false">K14*Annahmen!$B$6+K15*Annahmen!$B$7+K16*Annahmen!$B$9+K17*Annahmen!$B$10</f>
        <v>20670.1861013824</v>
      </c>
      <c r="L19" s="25" t="n">
        <f aca="false">L14*Annahmen!$B$6+L15*Annahmen!$B$7+L16*Annahmen!$B$9+L17*Annahmen!$B$10</f>
        <v>22050.04962127</v>
      </c>
      <c r="M19" s="25" t="n">
        <f aca="false">M14*Annahmen!$B$6+M15*Annahmen!$B$7+M16*Annahmen!$B$9+M17*Annahmen!$B$10</f>
        <v>23122.3170031881</v>
      </c>
      <c r="N19" s="25" t="n">
        <f aca="false">N14*Annahmen!$B$6+N15*Annahmen!$B$7+N16*Annahmen!$B$9+N17*Annahmen!$B$10</f>
        <v>23955.9722926314</v>
      </c>
      <c r="O19" s="25" t="n">
        <f aca="false">O14*Annahmen!$B$6+O15*Annahmen!$B$7+O16*Annahmen!$B$9+O17*Annahmen!$B$10</f>
        <v>24604.5233474228</v>
      </c>
      <c r="P19" s="25" t="n">
        <f aca="false">P14*Annahmen!$B$6+P15*Annahmen!$B$7+P16*Annahmen!$B$9+P17*Annahmen!$B$10</f>
        <v>25109.4739109224</v>
      </c>
      <c r="Q19" s="25" t="n">
        <f aca="false">Q14*Annahmen!$B$6+Q15*Annahmen!$B$7+Q16*Annahmen!$B$9+Q17*Annahmen!$B$10</f>
        <v>25503.0167265263</v>
      </c>
      <c r="R19" s="25" t="n">
        <f aca="false">R14*Annahmen!$B$6+R15*Annahmen!$B$7+R16*Annahmen!$B$9+R17*Annahmen!$B$10</f>
        <v>25810.122452653</v>
      </c>
      <c r="S19" s="25" t="n">
        <f aca="false">S14*Annahmen!$B$6+S15*Annahmen!$B$7+S16*Annahmen!$B$9+S17*Annahmen!$B$10</f>
        <v>26050.1599302323</v>
      </c>
      <c r="T19" s="25" t="n">
        <f aca="false">T14*Annahmen!$B$6+T15*Annahmen!$B$7+T16*Annahmen!$B$9+T17*Annahmen!$B$10</f>
        <v>26238.1529436499</v>
      </c>
      <c r="U19" s="25" t="n">
        <f aca="false">U14*Annahmen!$B$6+U15*Annahmen!$B$7+U16*Annahmen!$B$9+U17*Annahmen!$B$10</f>
        <v>26385.7550277522</v>
      </c>
      <c r="V19" s="25" t="n">
        <f aca="false">V14*Annahmen!$B$6+V15*Annahmen!$B$7+V16*Annahmen!$B$9+V17*Annahmen!$B$10</f>
        <v>26502.0055772105</v>
      </c>
      <c r="W19" s="25" t="n">
        <f aca="false">W14*Annahmen!$B$6+W15*Annahmen!$B$7+W16*Annahmen!$B$9+W17*Annahmen!$B$10</f>
        <v>26593.9163230069</v>
      </c>
      <c r="X19" s="25" t="n">
        <f aca="false">X14*Annahmen!$B$6+X15*Annahmen!$B$7+X16*Annahmen!$B$9+X17*Annahmen!$B$10</f>
        <v>26666.9262331361</v>
      </c>
      <c r="Y19" s="25" t="n">
        <f aca="false">Y14*Annahmen!$B$6+Y15*Annahmen!$B$7+Y16*Annahmen!$B$9+Y17*Annahmen!$B$10</f>
        <v>26725.2543565207</v>
      </c>
    </row>
    <row r="20" customFormat="false" ht="15" hidden="false" customHeight="false" outlineLevel="0" collapsed="false">
      <c r="A20" s="5" t="s">
        <v>143</v>
      </c>
      <c r="B20" s="26" t="n">
        <f aca="false">B11*(Annahmen!$B$12/(1-Annahmen!$B$15*(1-B6))*Annahmen!$B$5+Annahmen!$B$13/(1-Annahmen!$B$15*(1-B6))*Annahmen!$B$8+Annahmen!$B$15*B6*Annahmen!$B$11)</f>
        <v>3690</v>
      </c>
      <c r="C20" s="26" t="n">
        <f aca="false">C11*(Annahmen!$B$12/(1-Annahmen!$B$15*(1-C6))*Annahmen!$B$5+Annahmen!$B$13/(1-Annahmen!$B$15*(1-C6))*Annahmen!$B$8+Annahmen!$B$15*C6*Annahmen!$B$11)</f>
        <v>3690</v>
      </c>
      <c r="D20" s="26" t="n">
        <f aca="false">D11*(Annahmen!$B$12/(1-Annahmen!$B$15*(1-D6))*Annahmen!$B$5+Annahmen!$B$13/(1-Annahmen!$B$15*(1-D6))*Annahmen!$B$8+Annahmen!$B$15*D6*Annahmen!$B$11)</f>
        <v>4920</v>
      </c>
      <c r="E20" s="26" t="n">
        <f aca="false">E11*(Annahmen!$B$12/(1-Annahmen!$B$15*(1-E6))*Annahmen!$B$5+Annahmen!$B$13/(1-Annahmen!$B$15*(1-E6))*Annahmen!$B$8+Annahmen!$B$15*E6*Annahmen!$B$11)</f>
        <v>4920</v>
      </c>
      <c r="F20" s="26" t="n">
        <f aca="false">F11*(Annahmen!$B$12/(1-Annahmen!$B$15*(1-F6))*Annahmen!$B$5+Annahmen!$B$13/(1-Annahmen!$B$15*(1-F6))*Annahmen!$B$8+Annahmen!$B$15*F6*Annahmen!$B$11)</f>
        <v>4920</v>
      </c>
      <c r="G20" s="26" t="n">
        <f aca="false">G11*(Annahmen!$B$12/(1-Annahmen!$B$15*(1-G6))*Annahmen!$B$5+Annahmen!$B$13/(1-Annahmen!$B$15*(1-G6))*Annahmen!$B$8+Annahmen!$B$15*G6*Annahmen!$B$11)</f>
        <v>4920</v>
      </c>
      <c r="H20" s="26" t="n">
        <f aca="false">H11*(Annahmen!$B$12/(1-Annahmen!$B$15*(1-H6))*Annahmen!$B$5+Annahmen!$B$13/(1-Annahmen!$B$15*(1-H6))*Annahmen!$B$8+Annahmen!$B$15*H6*Annahmen!$B$11)</f>
        <v>4920</v>
      </c>
      <c r="I20" s="26" t="n">
        <f aca="false">I11*(Annahmen!$B$12/(1-Annahmen!$B$15*(1-I6))*Annahmen!$B$5+Annahmen!$B$13/(1-Annahmen!$B$15*(1-I6))*Annahmen!$B$8+Annahmen!$B$15*I6*Annahmen!$B$11)</f>
        <v>5180</v>
      </c>
      <c r="J20" s="26" t="n">
        <f aca="false">J11*(Annahmen!$B$12/(1-Annahmen!$B$15*(1-J6))*Annahmen!$B$5+Annahmen!$B$13/(1-Annahmen!$B$15*(1-J6))*Annahmen!$B$8+Annahmen!$B$15*J6*Annahmen!$B$11)</f>
        <v>5180</v>
      </c>
      <c r="K20" s="26" t="n">
        <f aca="false">K11*(Annahmen!$B$12/(1-Annahmen!$B$15*(1-K6))*Annahmen!$B$5+Annahmen!$B$13/(1-Annahmen!$B$15*(1-K6))*Annahmen!$B$8+Annahmen!$B$15*K6*Annahmen!$B$11)</f>
        <v>4521.97370738052</v>
      </c>
      <c r="L20" s="26" t="n">
        <f aca="false">L11*(Annahmen!$B$12/(1-Annahmen!$B$15*(1-L6))*Annahmen!$B$5+Annahmen!$B$13/(1-Annahmen!$B$15*(1-L6))*Annahmen!$B$8+Annahmen!$B$15*L6*Annahmen!$B$11)</f>
        <v>3836.2224057963</v>
      </c>
      <c r="M20" s="26" t="n">
        <f aca="false">M11*(Annahmen!$B$12/(1-Annahmen!$B$15*(1-M6))*Annahmen!$B$5+Annahmen!$B$13/(1-Annahmen!$B$15*(1-M6))*Annahmen!$B$8+Annahmen!$B$15*M6*Annahmen!$B$11)</f>
        <v>3304.24970278962</v>
      </c>
      <c r="N20" s="26" t="n">
        <f aca="false">N11*(Annahmen!$B$12/(1-Annahmen!$B$15*(1-N6))*Annahmen!$B$5+Annahmen!$B$13/(1-Annahmen!$B$15*(1-N6))*Annahmen!$B$8+Annahmen!$B$15*N6*Annahmen!$B$11)</f>
        <v>2891.55373041269</v>
      </c>
      <c r="O20" s="26" t="n">
        <f aca="false">O11*(Annahmen!$B$12/(1-Annahmen!$B$15*(1-O6))*Annahmen!$B$5+Annahmen!$B$13/(1-Annahmen!$B$15*(1-O6))*Annahmen!$B$8+Annahmen!$B$15*O6*Annahmen!$B$11)</f>
        <v>2571.37329031104</v>
      </c>
      <c r="P20" s="26" t="n">
        <f aca="false">P11*(Annahmen!$B$12/(1-Annahmen!$B$15*(1-P6))*Annahmen!$B$5+Annahmen!$B$13/(1-Annahmen!$B$15*(1-P6))*Annahmen!$B$8+Annahmen!$B$15*P6*Annahmen!$B$11)</f>
        <v>2322.95122573559</v>
      </c>
      <c r="Q20" s="26" t="n">
        <f aca="false">Q11*(Annahmen!$B$12/(1-Annahmen!$B$15*(1-Q6))*Annahmen!$B$5+Annahmen!$B$13/(1-Annahmen!$B$15*(1-Q6))*Annahmen!$B$8+Annahmen!$B$15*Q6*Annahmen!$B$11)</f>
        <v>2130.18740614603</v>
      </c>
      <c r="R20" s="26" t="n">
        <f aca="false">R11*(Annahmen!$B$12/(1-Annahmen!$B$15*(1-R6))*Annahmen!$B$5+Annahmen!$B$13/(1-Annahmen!$B$15*(1-R6))*Annahmen!$B$8+Annahmen!$B$15*R6*Annahmen!$B$11)</f>
        <v>1980.59391489124</v>
      </c>
      <c r="S20" s="26" t="n">
        <f aca="false">S11*(Annahmen!$B$12/(1-Annahmen!$B$15*(1-S6))*Annahmen!$B$5+Annahmen!$B$13/(1-Annahmen!$B$15*(1-S6))*Annahmen!$B$8+Annahmen!$B$15*S6*Annahmen!$B$11)</f>
        <v>1864.48464075672</v>
      </c>
      <c r="T20" s="26" t="n">
        <f aca="false">T11*(Annahmen!$B$12/(1-Annahmen!$B$15*(1-T6))*Annahmen!$B$5+Annahmen!$B$13/(1-Annahmen!$B$15*(1-T6))*Annahmen!$B$8+Annahmen!$B$15*T6*Annahmen!$B$11)</f>
        <v>1774.34668490627</v>
      </c>
      <c r="U20" s="26" t="n">
        <f aca="false">U11*(Annahmen!$B$12/(1-Annahmen!$B$15*(1-U6))*Annahmen!$B$5+Annahmen!$B$13/(1-Annahmen!$B$15*(1-U6))*Annahmen!$B$8+Annahmen!$B$15*U6*Annahmen!$B$11)</f>
        <v>1704.35279295745</v>
      </c>
      <c r="V20" s="26" t="n">
        <f aca="false">V11*(Annahmen!$B$12/(1-Annahmen!$B$15*(1-V6))*Annahmen!$B$5+Annahmen!$B$13/(1-Annahmen!$B$15*(1-V6))*Annahmen!$B$8+Annahmen!$B$15*V6*Annahmen!$B$11)</f>
        <v>1649.98317321619</v>
      </c>
      <c r="W20" s="26" t="n">
        <f aca="false">W11*(Annahmen!$B$12/(1-Annahmen!$B$15*(1-W6))*Annahmen!$B$5+Annahmen!$B$13/(1-Annahmen!$B$15*(1-W6))*Annahmen!$B$8+Annahmen!$B$15*W6*Annahmen!$B$11)</f>
        <v>1607.73216029308</v>
      </c>
      <c r="X20" s="26" t="n">
        <f aca="false">X11*(Annahmen!$B$12/(1-Annahmen!$B$15*(1-X6))*Annahmen!$B$5+Annahmen!$B$13/(1-Annahmen!$B$15*(1-X6))*Annahmen!$B$8+Annahmen!$B$15*X6*Annahmen!$B$11)</f>
        <v>1574.88068904235</v>
      </c>
      <c r="Y20" s="26" t="n">
        <f aca="false">Y11*(Annahmen!$B$12/(1-Annahmen!$B$15*(1-Y6))*Annahmen!$B$5+Annahmen!$B$13/(1-Annahmen!$B$15*(1-Y6))*Annahmen!$B$8+Annahmen!$B$15*Y6*Annahmen!$B$11)</f>
        <v>1549.31981427605</v>
      </c>
    </row>
    <row r="21" customFormat="false" ht="15" hidden="false" customHeight="false" outlineLevel="0" collapsed="false">
      <c r="A21" s="7" t="s">
        <v>144</v>
      </c>
      <c r="B21" s="25" t="n">
        <f aca="false">B19+B20</f>
        <v>5469</v>
      </c>
      <c r="C21" s="25" t="n">
        <f aca="false">C19+C20</f>
        <v>7207.91</v>
      </c>
      <c r="D21" s="25" t="n">
        <f aca="false">D19+D20</f>
        <v>10730.6809</v>
      </c>
      <c r="E21" s="25" t="n">
        <f aca="false">E19+E20</f>
        <v>12971.8766376667</v>
      </c>
      <c r="F21" s="25" t="n">
        <f aca="false">F19+F20</f>
        <v>15162.7184339567</v>
      </c>
      <c r="G21" s="25" t="n">
        <f aca="false">G19+G20</f>
        <v>17304.3972126224</v>
      </c>
      <c r="H21" s="25" t="n">
        <f aca="false">H19+H20</f>
        <v>19398.0743841523</v>
      </c>
      <c r="I21" s="25" t="n">
        <f aca="false">I19+I20</f>
        <v>21901.8826086741</v>
      </c>
      <c r="J21" s="25" t="n">
        <f aca="false">J19+J20</f>
        <v>24073.7898717362</v>
      </c>
      <c r="K21" s="25" t="n">
        <f aca="false">K19+K20</f>
        <v>25192.159808763</v>
      </c>
      <c r="L21" s="25" t="n">
        <f aca="false">L19+L20</f>
        <v>25886.2720270664</v>
      </c>
      <c r="M21" s="25" t="n">
        <f aca="false">M19+M20</f>
        <v>26426.5667059777</v>
      </c>
      <c r="N21" s="25" t="n">
        <f aca="false">N19+N20</f>
        <v>26847.5260230441</v>
      </c>
      <c r="O21" s="25" t="n">
        <f aca="false">O19+O20</f>
        <v>27175.8966377338</v>
      </c>
      <c r="P21" s="25" t="n">
        <f aca="false">P19+P20</f>
        <v>27432.425136658</v>
      </c>
      <c r="Q21" s="25" t="n">
        <f aca="false">Q19+Q20</f>
        <v>27633.2041326724</v>
      </c>
      <c r="R21" s="25" t="n">
        <f aca="false">R19+R20</f>
        <v>27790.7163675442</v>
      </c>
      <c r="S21" s="25" t="n">
        <f aca="false">S19+S20</f>
        <v>27914.644570989</v>
      </c>
      <c r="T21" s="25" t="n">
        <f aca="false">T19+T20</f>
        <v>28012.4996285561</v>
      </c>
      <c r="U21" s="25" t="n">
        <f aca="false">U19+U20</f>
        <v>28090.1078207096</v>
      </c>
      <c r="V21" s="25" t="n">
        <f aca="false">V19+V20</f>
        <v>28151.9887504267</v>
      </c>
      <c r="W21" s="25" t="n">
        <f aca="false">W19+W20</f>
        <v>28201.6484833</v>
      </c>
      <c r="X21" s="25" t="n">
        <f aca="false">X19+X20</f>
        <v>28241.8069221785</v>
      </c>
      <c r="Y21" s="25" t="n">
        <f aca="false">Y19+Y20</f>
        <v>28274.5741707968</v>
      </c>
    </row>
    <row r="22" customFormat="false" ht="15" hidden="false" customHeight="false" outlineLevel="0" collapsed="false">
      <c r="A22" s="5" t="s">
        <v>145</v>
      </c>
      <c r="B22" s="26" t="n">
        <f aca="false">Annahmen!$B$42+Annahmen!$B$43+B7*Annahmen!$B$40</f>
        <v>355</v>
      </c>
      <c r="C22" s="26" t="n">
        <f aca="false">Annahmen!$B$42+Annahmen!$B$43+C7*Annahmen!$B$40</f>
        <v>355</v>
      </c>
      <c r="D22" s="26" t="n">
        <f aca="false">Annahmen!$B$42+Annahmen!$B$43+D7*Annahmen!$B$40</f>
        <v>505</v>
      </c>
      <c r="E22" s="26" t="n">
        <f aca="false">Annahmen!$B$42+Annahmen!$B$43+E7*Annahmen!$B$40</f>
        <v>505</v>
      </c>
      <c r="F22" s="26" t="n">
        <f aca="false">Annahmen!$B$42+Annahmen!$B$43+F7*Annahmen!$B$40</f>
        <v>505</v>
      </c>
      <c r="G22" s="26" t="n">
        <f aca="false">Annahmen!$B$42+Annahmen!$B$43+G7*Annahmen!$B$40</f>
        <v>505</v>
      </c>
      <c r="H22" s="26" t="n">
        <f aca="false">Annahmen!$B$42+Annahmen!$B$43+H7*Annahmen!$B$40</f>
        <v>505</v>
      </c>
      <c r="I22" s="26" t="n">
        <f aca="false">Annahmen!$B$42+Annahmen!$B$43+I7*Annahmen!$B$40</f>
        <v>505</v>
      </c>
      <c r="J22" s="26" t="n">
        <f aca="false">Annahmen!$B$42+Annahmen!$B$43+J7*Annahmen!$B$40</f>
        <v>505</v>
      </c>
      <c r="K22" s="26" t="n">
        <f aca="false">Annahmen!$B$42+Annahmen!$B$43+K7*Annahmen!$B$40</f>
        <v>505</v>
      </c>
      <c r="L22" s="26" t="n">
        <f aca="false">Annahmen!$B$42+Annahmen!$B$43+L7*Annahmen!$B$40</f>
        <v>505</v>
      </c>
      <c r="M22" s="26" t="n">
        <f aca="false">Annahmen!$B$42+Annahmen!$B$43+M7*Annahmen!$B$40</f>
        <v>505</v>
      </c>
      <c r="N22" s="26" t="n">
        <f aca="false">Annahmen!$B$42+Annahmen!$B$43+N7*Annahmen!$B$40</f>
        <v>505</v>
      </c>
      <c r="O22" s="26" t="n">
        <f aca="false">Annahmen!$B$42+Annahmen!$B$43+O7*Annahmen!$B$40</f>
        <v>505</v>
      </c>
      <c r="P22" s="26" t="n">
        <f aca="false">Annahmen!$B$42+Annahmen!$B$43+P7*Annahmen!$B$40</f>
        <v>505</v>
      </c>
      <c r="Q22" s="26" t="n">
        <f aca="false">Annahmen!$B$42+Annahmen!$B$43+Q7*Annahmen!$B$40</f>
        <v>505</v>
      </c>
      <c r="R22" s="26" t="n">
        <f aca="false">Annahmen!$B$42+Annahmen!$B$43+R7*Annahmen!$B$40</f>
        <v>505</v>
      </c>
      <c r="S22" s="26" t="n">
        <f aca="false">Annahmen!$B$42+Annahmen!$B$43+S7*Annahmen!$B$40</f>
        <v>505</v>
      </c>
      <c r="T22" s="26" t="n">
        <f aca="false">Annahmen!$B$42+Annahmen!$B$43+T7*Annahmen!$B$40</f>
        <v>505</v>
      </c>
      <c r="U22" s="26" t="n">
        <f aca="false">Annahmen!$B$42+Annahmen!$B$43+U7*Annahmen!$B$40</f>
        <v>505</v>
      </c>
      <c r="V22" s="26" t="n">
        <f aca="false">Annahmen!$B$42+Annahmen!$B$43+V7*Annahmen!$B$40</f>
        <v>505</v>
      </c>
      <c r="W22" s="26" t="n">
        <f aca="false">Annahmen!$B$42+Annahmen!$B$43+W7*Annahmen!$B$40</f>
        <v>505</v>
      </c>
      <c r="X22" s="26" t="n">
        <f aca="false">Annahmen!$B$42+Annahmen!$B$43+X7*Annahmen!$B$40</f>
        <v>505</v>
      </c>
      <c r="Y22" s="26" t="n">
        <f aca="false">Annahmen!$B$42+Annahmen!$B$43+Y7*Annahmen!$B$40</f>
        <v>505</v>
      </c>
    </row>
    <row r="23" customFormat="false" ht="15" hidden="false" customHeight="false" outlineLevel="0" collapsed="false">
      <c r="A23" s="7" t="s">
        <v>146</v>
      </c>
      <c r="B23" s="25" t="n">
        <f aca="false">B21-B22</f>
        <v>5114</v>
      </c>
      <c r="C23" s="25" t="n">
        <f aca="false">C21-C22</f>
        <v>6852.91</v>
      </c>
      <c r="D23" s="25" t="n">
        <f aca="false">D21-D22</f>
        <v>10225.6809</v>
      </c>
      <c r="E23" s="25" t="n">
        <f aca="false">E21-E22</f>
        <v>12466.8766376667</v>
      </c>
      <c r="F23" s="25" t="n">
        <f aca="false">F21-F22</f>
        <v>14657.7184339567</v>
      </c>
      <c r="G23" s="25" t="n">
        <f aca="false">G21-G22</f>
        <v>16799.3972126224</v>
      </c>
      <c r="H23" s="25" t="n">
        <f aca="false">H21-H22</f>
        <v>18893.0743841523</v>
      </c>
      <c r="I23" s="25" t="n">
        <f aca="false">I21-I22</f>
        <v>21396.8826086741</v>
      </c>
      <c r="J23" s="25" t="n">
        <f aca="false">J21-J22</f>
        <v>23568.7898717362</v>
      </c>
      <c r="K23" s="25" t="n">
        <f aca="false">K21-K22</f>
        <v>24687.159808763</v>
      </c>
      <c r="L23" s="25" t="n">
        <f aca="false">L21-L22</f>
        <v>25381.2720270664</v>
      </c>
      <c r="M23" s="25" t="n">
        <f aca="false">M21-M22</f>
        <v>25921.5667059777</v>
      </c>
      <c r="N23" s="25" t="n">
        <f aca="false">N21-N22</f>
        <v>26342.5260230441</v>
      </c>
      <c r="O23" s="25" t="n">
        <f aca="false">O21-O22</f>
        <v>26670.8966377338</v>
      </c>
      <c r="P23" s="25" t="n">
        <f aca="false">P21-P22</f>
        <v>26927.425136658</v>
      </c>
      <c r="Q23" s="25" t="n">
        <f aca="false">Q21-Q22</f>
        <v>27128.2041326724</v>
      </c>
      <c r="R23" s="25" t="n">
        <f aca="false">R21-R22</f>
        <v>27285.7163675442</v>
      </c>
      <c r="S23" s="25" t="n">
        <f aca="false">S21-S22</f>
        <v>27409.644570989</v>
      </c>
      <c r="T23" s="25" t="n">
        <f aca="false">T21-T22</f>
        <v>27507.4996285561</v>
      </c>
      <c r="U23" s="25" t="n">
        <f aca="false">U21-U22</f>
        <v>27585.1078207096</v>
      </c>
      <c r="V23" s="25" t="n">
        <f aca="false">V21-V22</f>
        <v>27646.9887504267</v>
      </c>
      <c r="W23" s="25" t="n">
        <f aca="false">W21-W22</f>
        <v>27696.6484833</v>
      </c>
      <c r="X23" s="25" t="n">
        <f aca="false">X21-X22</f>
        <v>27736.8069221785</v>
      </c>
      <c r="Y23" s="25" t="n">
        <f aca="false">Y21-Y22</f>
        <v>27769.5741707968</v>
      </c>
    </row>
    <row r="24" customFormat="false" ht="15" hidden="false" customHeight="false" outlineLevel="0" collapsed="false">
      <c r="A24" s="7" t="s">
        <v>147</v>
      </c>
      <c r="B24" s="16" t="n">
        <f aca="false">B23</f>
        <v>5114</v>
      </c>
      <c r="C24" s="16" t="n">
        <f aca="false">B24+C23</f>
        <v>11966.91</v>
      </c>
      <c r="D24" s="16" t="n">
        <f aca="false">C24+D23</f>
        <v>22192.5909</v>
      </c>
      <c r="E24" s="16" t="n">
        <f aca="false">D24+E23</f>
        <v>34659.4675376667</v>
      </c>
      <c r="F24" s="16" t="n">
        <f aca="false">E24+F23</f>
        <v>49317.1859716233</v>
      </c>
      <c r="G24" s="16" t="n">
        <f aca="false">F24+G23</f>
        <v>66116.5831842458</v>
      </c>
      <c r="H24" s="16" t="n">
        <f aca="false">G24+H23</f>
        <v>85009.6575683981</v>
      </c>
      <c r="I24" s="16" t="n">
        <f aca="false">H24+I23</f>
        <v>106406.540177072</v>
      </c>
      <c r="J24" s="16" t="n">
        <f aca="false">I24+J23</f>
        <v>129975.330048808</v>
      </c>
      <c r="K24" s="16" t="n">
        <f aca="false">J24+K23</f>
        <v>154662.489857571</v>
      </c>
      <c r="L24" s="16" t="n">
        <f aca="false">K24+L23</f>
        <v>180043.761884638</v>
      </c>
      <c r="M24" s="16" t="n">
        <f aca="false">L24+M23</f>
        <v>205965.328590615</v>
      </c>
      <c r="N24" s="16" t="n">
        <f aca="false">M24+N23</f>
        <v>232307.85461366</v>
      </c>
      <c r="O24" s="16" t="n">
        <f aca="false">N24+O23</f>
        <v>258978.751251393</v>
      </c>
      <c r="P24" s="16" t="n">
        <f aca="false">O24+P23</f>
        <v>285906.176388051</v>
      </c>
      <c r="Q24" s="16" t="n">
        <f aca="false">P24+Q23</f>
        <v>313034.380520724</v>
      </c>
      <c r="R24" s="16" t="n">
        <f aca="false">Q24+R23</f>
        <v>340320.096888268</v>
      </c>
      <c r="S24" s="16" t="n">
        <f aca="false">R24+S23</f>
        <v>367729.741459257</v>
      </c>
      <c r="T24" s="16" t="n">
        <f aca="false">S24+T23</f>
        <v>395237.241087813</v>
      </c>
      <c r="U24" s="16" t="n">
        <f aca="false">T24+U23</f>
        <v>422822.348908523</v>
      </c>
      <c r="V24" s="16" t="n">
        <f aca="false">U24+V23</f>
        <v>450469.337658949</v>
      </c>
      <c r="W24" s="16" t="n">
        <f aca="false">V24+W23</f>
        <v>478165.986142249</v>
      </c>
      <c r="X24" s="16" t="n">
        <f aca="false">W24+X23</f>
        <v>505902.793064428</v>
      </c>
      <c r="Y24" s="16" t="n">
        <f aca="false">X24+Y23</f>
        <v>533672.367235225</v>
      </c>
    </row>
    <row r="25" customFormat="false" ht="15" hidden="false" customHeight="false" outlineLevel="0" collapsed="false">
      <c r="A25" s="5" t="s">
        <v>148</v>
      </c>
      <c r="B25" s="22" t="n">
        <f aca="false">B9+B11*B8</f>
        <v>111.25</v>
      </c>
      <c r="C25" s="22" t="n">
        <f aca="false">C9+C11*C8</f>
        <v>130.5</v>
      </c>
      <c r="D25" s="22" t="n">
        <f aca="false">D9+D11*D8</f>
        <v>96.1023333333333</v>
      </c>
      <c r="E25" s="22" t="n">
        <f aca="false">E9+E11*E8</f>
        <v>109.11251</v>
      </c>
      <c r="F25" s="22" t="n">
        <f aca="false">F9+F11*F8</f>
        <v>121.825569566667</v>
      </c>
      <c r="G25" s="22" t="n">
        <f aca="false">G9+G11*G8</f>
        <v>134.248588051</v>
      </c>
      <c r="H25" s="22" t="n">
        <f aca="false">H9+H11*H8</f>
        <v>146.388465677357</v>
      </c>
      <c r="I25" s="22" t="n">
        <f aca="false">I9+I11*I8</f>
        <v>155.218598090132</v>
      </c>
      <c r="J25" s="22" t="n">
        <f aca="false">J9+J11*J8</f>
        <v>167.445547445223</v>
      </c>
      <c r="K25" s="22" t="n">
        <f aca="false">K9+K11*K8</f>
        <v>170</v>
      </c>
      <c r="L25" s="22" t="n">
        <f aca="false">L9+L11*L8</f>
        <v>170</v>
      </c>
      <c r="M25" s="22" t="n">
        <f aca="false">M9+M11*M8</f>
        <v>170</v>
      </c>
      <c r="N25" s="22" t="n">
        <f aca="false">N9+N11*N8</f>
        <v>170</v>
      </c>
      <c r="O25" s="22" t="n">
        <f aca="false">O9+O11*O8</f>
        <v>170</v>
      </c>
      <c r="P25" s="22" t="n">
        <f aca="false">P9+P11*P8</f>
        <v>170</v>
      </c>
      <c r="Q25" s="22" t="n">
        <f aca="false">Q9+Q11*Q8</f>
        <v>170</v>
      </c>
      <c r="R25" s="22" t="n">
        <f aca="false">R9+R11*R8</f>
        <v>170</v>
      </c>
      <c r="S25" s="22" t="n">
        <f aca="false">S9+S11*S8</f>
        <v>170</v>
      </c>
      <c r="T25" s="22" t="n">
        <f aca="false">T9+T11*T8</f>
        <v>170</v>
      </c>
      <c r="U25" s="22" t="n">
        <f aca="false">U9+U11*U8</f>
        <v>170</v>
      </c>
      <c r="V25" s="22" t="n">
        <f aca="false">V9+V11*V8</f>
        <v>170</v>
      </c>
      <c r="W25" s="22" t="n">
        <f aca="false">W9+W11*W8</f>
        <v>170</v>
      </c>
      <c r="X25" s="22" t="n">
        <f aca="false">X9+X11*X8</f>
        <v>170</v>
      </c>
      <c r="Y25" s="22" t="n">
        <f aca="false">Y9+Y11*Y8</f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3"/>
    <col collapsed="false" customWidth="true" hidden="false" outlineLevel="0" max="4" min="4" style="0" width="36"/>
    <col collapsed="false" customWidth="true" hidden="false" outlineLevel="0" max="17" min="5" style="0" width="11"/>
  </cols>
  <sheetData>
    <row r="1" customFormat="false" ht="17.35" hidden="false" customHeight="false" outlineLevel="0" collapsed="false">
      <c r="A1" s="1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3" t="s">
        <v>155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5" hidden="false" customHeight="false" outlineLevel="0" collapsed="false">
      <c r="A4" s="4" t="s">
        <v>81</v>
      </c>
      <c r="B4" s="4" t="s">
        <v>17</v>
      </c>
      <c r="C4" s="2"/>
      <c r="D4" s="4" t="s">
        <v>156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41</v>
      </c>
      <c r="N4" s="4" t="s">
        <v>42</v>
      </c>
      <c r="O4" s="4" t="s">
        <v>43</v>
      </c>
      <c r="P4" s="4" t="s">
        <v>44</v>
      </c>
      <c r="Q4" s="4" t="s">
        <v>157</v>
      </c>
    </row>
    <row r="5" customFormat="false" ht="15" hidden="false" customHeight="false" outlineLevel="0" collapsed="false">
      <c r="A5" s="5" t="s">
        <v>158</v>
      </c>
      <c r="B5" s="12" t="n">
        <v>2600</v>
      </c>
      <c r="C5" s="2"/>
      <c r="D5" s="5" t="s">
        <v>159</v>
      </c>
      <c r="E5" s="13" t="n">
        <v>1</v>
      </c>
      <c r="F5" s="13" t="n">
        <v>1</v>
      </c>
      <c r="G5" s="13" t="n">
        <v>2</v>
      </c>
      <c r="H5" s="13" t="n">
        <v>2</v>
      </c>
      <c r="I5" s="13" t="n">
        <v>3</v>
      </c>
      <c r="J5" s="13" t="n">
        <v>3</v>
      </c>
      <c r="K5" s="13" t="n">
        <v>4</v>
      </c>
      <c r="L5" s="13" t="n">
        <v>4</v>
      </c>
      <c r="M5" s="13" t="n">
        <v>5</v>
      </c>
      <c r="N5" s="13" t="n">
        <v>5</v>
      </c>
      <c r="O5" s="13" t="n">
        <v>6</v>
      </c>
      <c r="P5" s="13" t="n">
        <v>6</v>
      </c>
      <c r="Q5" s="2"/>
    </row>
    <row r="6" customFormat="false" ht="15" hidden="false" customHeight="false" outlineLevel="0" collapsed="false">
      <c r="A6" s="5" t="s">
        <v>160</v>
      </c>
      <c r="B6" s="12" t="n">
        <v>79</v>
      </c>
      <c r="C6" s="2"/>
      <c r="D6" s="5" t="s">
        <v>161</v>
      </c>
      <c r="E6" s="13" t="n">
        <v>0</v>
      </c>
      <c r="F6" s="13" t="n">
        <v>1</v>
      </c>
      <c r="G6" s="13" t="n">
        <v>1</v>
      </c>
      <c r="H6" s="13" t="n">
        <v>2</v>
      </c>
      <c r="I6" s="13" t="n">
        <v>2</v>
      </c>
      <c r="J6" s="13" t="n">
        <v>3</v>
      </c>
      <c r="K6" s="13" t="n">
        <v>3</v>
      </c>
      <c r="L6" s="13" t="n">
        <v>4</v>
      </c>
      <c r="M6" s="13" t="n">
        <v>4</v>
      </c>
      <c r="N6" s="13" t="n">
        <v>5</v>
      </c>
      <c r="O6" s="13" t="n">
        <v>5</v>
      </c>
      <c r="P6" s="13" t="n">
        <v>6</v>
      </c>
      <c r="Q6" s="2"/>
    </row>
    <row r="7" customFormat="false" ht="15" hidden="false" customHeight="false" outlineLevel="0" collapsed="false">
      <c r="A7" s="5" t="s">
        <v>162</v>
      </c>
      <c r="B7" s="12" t="n">
        <v>520</v>
      </c>
      <c r="C7" s="2"/>
      <c r="D7" s="5" t="s">
        <v>163</v>
      </c>
      <c r="E7" s="22" t="n">
        <f aca="false">MAX(0,E5-1)</f>
        <v>0</v>
      </c>
      <c r="F7" s="22" t="n">
        <f aca="false">MAX(0,F5-1)</f>
        <v>0</v>
      </c>
      <c r="G7" s="22" t="n">
        <f aca="false">MAX(0,G5-1)</f>
        <v>1</v>
      </c>
      <c r="H7" s="22" t="n">
        <f aca="false">MAX(0,H5-1)</f>
        <v>1</v>
      </c>
      <c r="I7" s="22" t="n">
        <f aca="false">MAX(0,I5-1)</f>
        <v>2</v>
      </c>
      <c r="J7" s="22" t="n">
        <f aca="false">MAX(0,J5-1)</f>
        <v>2</v>
      </c>
      <c r="K7" s="22" t="n">
        <f aca="false">MAX(0,K5-1)</f>
        <v>3</v>
      </c>
      <c r="L7" s="22" t="n">
        <f aca="false">MAX(0,L5-1)</f>
        <v>3</v>
      </c>
      <c r="M7" s="22" t="n">
        <f aca="false">MAX(0,M5-1)</f>
        <v>4</v>
      </c>
      <c r="N7" s="22" t="n">
        <f aca="false">MAX(0,N5-1)</f>
        <v>4</v>
      </c>
      <c r="O7" s="22" t="n">
        <f aca="false">MAX(0,O5-1)</f>
        <v>5</v>
      </c>
      <c r="P7" s="22" t="n">
        <f aca="false">MAX(0,P5-1)</f>
        <v>5</v>
      </c>
      <c r="Q7" s="2"/>
    </row>
    <row r="8" customFormat="false" ht="15" hidden="false" customHeight="false" outlineLevel="0" collapsed="false">
      <c r="A8" s="5" t="s">
        <v>164</v>
      </c>
      <c r="B8" s="12" t="n">
        <v>290</v>
      </c>
      <c r="C8" s="2"/>
      <c r="D8" s="5" t="s">
        <v>165</v>
      </c>
      <c r="E8" s="22" t="n">
        <f aca="false">E7</f>
        <v>0</v>
      </c>
      <c r="F8" s="22" t="n">
        <f aca="false">MAX(0,F7-E7)</f>
        <v>0</v>
      </c>
      <c r="G8" s="22" t="n">
        <f aca="false">MAX(0,G7-F7)</f>
        <v>1</v>
      </c>
      <c r="H8" s="22" t="n">
        <f aca="false">MAX(0,H7-G7)</f>
        <v>0</v>
      </c>
      <c r="I8" s="22" t="n">
        <f aca="false">MAX(0,I7-H7)</f>
        <v>1</v>
      </c>
      <c r="J8" s="22" t="n">
        <f aca="false">MAX(0,J7-I7)</f>
        <v>0</v>
      </c>
      <c r="K8" s="22" t="n">
        <f aca="false">MAX(0,K7-J7)</f>
        <v>1</v>
      </c>
      <c r="L8" s="22" t="n">
        <f aca="false">MAX(0,L7-K7)</f>
        <v>0</v>
      </c>
      <c r="M8" s="22" t="n">
        <f aca="false">MAX(0,M7-L7)</f>
        <v>1</v>
      </c>
      <c r="N8" s="22" t="n">
        <f aca="false">MAX(0,N7-M7)</f>
        <v>0</v>
      </c>
      <c r="O8" s="22" t="n">
        <f aca="false">MAX(0,O7-N7)</f>
        <v>1</v>
      </c>
      <c r="P8" s="22" t="n">
        <f aca="false">MAX(0,P7-O7)</f>
        <v>0</v>
      </c>
      <c r="Q8" s="2"/>
    </row>
    <row r="9" customFormat="false" ht="15" hidden="false" customHeight="false" outlineLevel="0" collapsed="false">
      <c r="A9" s="5" t="s">
        <v>166</v>
      </c>
      <c r="B9" s="12" t="n">
        <v>390</v>
      </c>
      <c r="C9" s="2"/>
      <c r="D9" s="5" t="s">
        <v>167</v>
      </c>
      <c r="E9" s="22" t="n">
        <f aca="false">E7-(1-$B$42)*E8</f>
        <v>0</v>
      </c>
      <c r="F9" s="22" t="n">
        <f aca="false">F7-(1-$B$42)*F8-(1-$B$43)*E8</f>
        <v>0</v>
      </c>
      <c r="G9" s="22" t="n">
        <f aca="false">G7-(1-$B$42)*G8-(1-$B$43)*F8-(1-$B$44)*E8</f>
        <v>0.25</v>
      </c>
      <c r="H9" s="22" t="n">
        <f aca="false">H7-(1-$B$42)*H8-(1-$B$43)*G8-(1-$B$44)*F8</f>
        <v>0.5</v>
      </c>
      <c r="I9" s="22" t="n">
        <f aca="false">I7-(1-$B$42)*I8-(1-$B$43)*H8-(1-$B$44)*G8</f>
        <v>1</v>
      </c>
      <c r="J9" s="22" t="n">
        <f aca="false">J7-(1-$B$42)*J8-(1-$B$43)*I8-(1-$B$44)*H8</f>
        <v>1.5</v>
      </c>
      <c r="K9" s="22" t="n">
        <f aca="false">K7-(1-$B$42)*K8-(1-$B$43)*J8-(1-$B$44)*I8</f>
        <v>2</v>
      </c>
      <c r="L9" s="22" t="n">
        <f aca="false">L7-(1-$B$42)*L8-(1-$B$43)*K8-(1-$B$44)*J8</f>
        <v>2.5</v>
      </c>
      <c r="M9" s="22" t="n">
        <f aca="false">M7-(1-$B$42)*M8-(1-$B$43)*L8-(1-$B$44)*K8</f>
        <v>3</v>
      </c>
      <c r="N9" s="22" t="n">
        <f aca="false">N7-(1-$B$42)*N8-(1-$B$43)*M8-(1-$B$44)*L8</f>
        <v>3.5</v>
      </c>
      <c r="O9" s="22" t="n">
        <f aca="false">O7-(1-$B$42)*O8-(1-$B$43)*N8-(1-$B$44)*M8</f>
        <v>4</v>
      </c>
      <c r="P9" s="22" t="n">
        <f aca="false">P7-(1-$B$42)*P8-(1-$B$43)*O8-(1-$B$44)*N8</f>
        <v>4.5</v>
      </c>
      <c r="Q9" s="2"/>
    </row>
    <row r="10" customFormat="false" ht="15" hidden="false" customHeight="false" outlineLevel="0" collapsed="false">
      <c r="A10" s="5" t="s">
        <v>84</v>
      </c>
      <c r="B10" s="12" t="n">
        <v>1190</v>
      </c>
      <c r="C10" s="2"/>
      <c r="D10" s="7" t="s">
        <v>136</v>
      </c>
      <c r="E10" s="21" t="n">
        <f aca="false">$B$25+E9*$B$24</f>
        <v>3</v>
      </c>
      <c r="F10" s="21" t="n">
        <f aca="false">$B$25+F9*$B$24</f>
        <v>3</v>
      </c>
      <c r="G10" s="21" t="n">
        <f aca="false">$B$25+G9*$B$24</f>
        <v>4.25</v>
      </c>
      <c r="H10" s="21" t="n">
        <f aca="false">$B$25+H9*$B$24</f>
        <v>5.5</v>
      </c>
      <c r="I10" s="21" t="n">
        <f aca="false">$B$25+I9*$B$24</f>
        <v>8</v>
      </c>
      <c r="J10" s="21" t="n">
        <f aca="false">$B$25+J9*$B$24</f>
        <v>10.5</v>
      </c>
      <c r="K10" s="21" t="n">
        <f aca="false">$B$25+K9*$B$24</f>
        <v>13</v>
      </c>
      <c r="L10" s="21" t="n">
        <f aca="false">$B$25+L9*$B$24</f>
        <v>15.5</v>
      </c>
      <c r="M10" s="21" t="n">
        <f aca="false">$B$25+M9*$B$24</f>
        <v>18</v>
      </c>
      <c r="N10" s="21" t="n">
        <f aca="false">$B$25+N9*$B$24</f>
        <v>20.5</v>
      </c>
      <c r="O10" s="21" t="n">
        <f aca="false">$B$25+O9*$B$24</f>
        <v>23</v>
      </c>
      <c r="P10" s="21" t="n">
        <f aca="false">$B$25+P9*$B$24</f>
        <v>25.5</v>
      </c>
      <c r="Q10" s="21" t="n">
        <f aca="false">SUM(E10:P10)</f>
        <v>149.75</v>
      </c>
    </row>
    <row r="11" customFormat="false" ht="15" hidden="false" customHeight="false" outlineLevel="0" collapsed="false">
      <c r="A11" s="5" t="s">
        <v>168</v>
      </c>
      <c r="B11" s="12" t="n">
        <v>1490</v>
      </c>
      <c r="C11" s="2"/>
      <c r="D11" s="5" t="s">
        <v>169</v>
      </c>
      <c r="E11" s="22" t="n">
        <f aca="false">E10*$B$14</f>
        <v>1.5</v>
      </c>
      <c r="F11" s="22" t="n">
        <f aca="false">F10*$B$14</f>
        <v>1.5</v>
      </c>
      <c r="G11" s="22" t="n">
        <f aca="false">G10*$B$14</f>
        <v>2.125</v>
      </c>
      <c r="H11" s="22" t="n">
        <f aca="false">H10*$B$14</f>
        <v>2.75</v>
      </c>
      <c r="I11" s="22" t="n">
        <f aca="false">I10*$B$14</f>
        <v>4</v>
      </c>
      <c r="J11" s="22" t="n">
        <f aca="false">J10*$B$14</f>
        <v>5.25</v>
      </c>
      <c r="K11" s="22" t="n">
        <f aca="false">K10*$B$14</f>
        <v>6.5</v>
      </c>
      <c r="L11" s="22" t="n">
        <f aca="false">L10*$B$14</f>
        <v>7.75</v>
      </c>
      <c r="M11" s="22" t="n">
        <f aca="false">M10*$B$14</f>
        <v>9</v>
      </c>
      <c r="N11" s="22" t="n">
        <f aca="false">N10*$B$14</f>
        <v>10.25</v>
      </c>
      <c r="O11" s="22" t="n">
        <f aca="false">O10*$B$14</f>
        <v>11.5</v>
      </c>
      <c r="P11" s="22" t="n">
        <f aca="false">P10*$B$14</f>
        <v>12.75</v>
      </c>
      <c r="Q11" s="21" t="n">
        <f aca="false">SUM(E11:P11)</f>
        <v>74.875</v>
      </c>
    </row>
    <row r="12" customFormat="false" ht="15" hidden="false" customHeight="false" outlineLevel="0" collapsed="false">
      <c r="A12" s="5" t="s">
        <v>88</v>
      </c>
      <c r="B12" s="12" t="n">
        <v>1490</v>
      </c>
      <c r="C12" s="2"/>
      <c r="D12" s="5" t="s">
        <v>170</v>
      </c>
      <c r="E12" s="22" t="n">
        <f aca="false">E11*$B$17</f>
        <v>0.525</v>
      </c>
      <c r="F12" s="22" t="n">
        <f aca="false">F11*$B$17</f>
        <v>0.525</v>
      </c>
      <c r="G12" s="22" t="n">
        <f aca="false">G11*$B$17</f>
        <v>0.74375</v>
      </c>
      <c r="H12" s="22" t="n">
        <f aca="false">H11*$B$17</f>
        <v>0.9625</v>
      </c>
      <c r="I12" s="22" t="n">
        <f aca="false">I11*$B$17</f>
        <v>1.4</v>
      </c>
      <c r="J12" s="22" t="n">
        <f aca="false">J11*$B$17</f>
        <v>1.8375</v>
      </c>
      <c r="K12" s="22" t="n">
        <f aca="false">K11*$B$17</f>
        <v>2.275</v>
      </c>
      <c r="L12" s="22" t="n">
        <f aca="false">L11*$B$17</f>
        <v>2.7125</v>
      </c>
      <c r="M12" s="22" t="n">
        <f aca="false">M11*$B$17</f>
        <v>3.15</v>
      </c>
      <c r="N12" s="22" t="n">
        <f aca="false">N11*$B$17</f>
        <v>3.5875</v>
      </c>
      <c r="O12" s="22" t="n">
        <f aca="false">O11*$B$17</f>
        <v>4.025</v>
      </c>
      <c r="P12" s="22" t="n">
        <f aca="false">P11*$B$17</f>
        <v>4.4625</v>
      </c>
      <c r="Q12" s="21" t="n">
        <f aca="false">SUM(E12:P12)</f>
        <v>26.20625</v>
      </c>
    </row>
    <row r="13" customFormat="false" ht="15" hidden="false" customHeight="false" outlineLevel="0" collapsed="false">
      <c r="A13" s="5" t="s">
        <v>171</v>
      </c>
      <c r="B13" s="12" t="n">
        <v>790</v>
      </c>
      <c r="C13" s="2"/>
      <c r="D13" s="5" t="s">
        <v>172</v>
      </c>
      <c r="E13" s="22" t="n">
        <f aca="false">E11*$B$18</f>
        <v>0.3</v>
      </c>
      <c r="F13" s="22" t="n">
        <f aca="false">F11*$B$18</f>
        <v>0.3</v>
      </c>
      <c r="G13" s="22" t="n">
        <f aca="false">G11*$B$18</f>
        <v>0.425</v>
      </c>
      <c r="H13" s="22" t="n">
        <f aca="false">H11*$B$18</f>
        <v>0.55</v>
      </c>
      <c r="I13" s="22" t="n">
        <f aca="false">I11*$B$18</f>
        <v>0.8</v>
      </c>
      <c r="J13" s="22" t="n">
        <f aca="false">J11*$B$18</f>
        <v>1.05</v>
      </c>
      <c r="K13" s="22" t="n">
        <f aca="false">K11*$B$18</f>
        <v>1.3</v>
      </c>
      <c r="L13" s="22" t="n">
        <f aca="false">L11*$B$18</f>
        <v>1.55</v>
      </c>
      <c r="M13" s="22" t="n">
        <f aca="false">M11*$B$18</f>
        <v>1.8</v>
      </c>
      <c r="N13" s="22" t="n">
        <f aca="false">N11*$B$18</f>
        <v>2.05</v>
      </c>
      <c r="O13" s="22" t="n">
        <f aca="false">O11*$B$18</f>
        <v>2.3</v>
      </c>
      <c r="P13" s="22" t="n">
        <f aca="false">P11*$B$18</f>
        <v>2.55</v>
      </c>
      <c r="Q13" s="21" t="n">
        <f aca="false">SUM(E13:P13)</f>
        <v>14.975</v>
      </c>
    </row>
    <row r="14" customFormat="false" ht="15" hidden="false" customHeight="false" outlineLevel="0" collapsed="false">
      <c r="A14" s="5" t="s">
        <v>173</v>
      </c>
      <c r="B14" s="17" t="n">
        <v>0.5</v>
      </c>
      <c r="C14" s="2"/>
      <c r="D14" s="5" t="s">
        <v>174</v>
      </c>
      <c r="E14" s="22" t="n">
        <f aca="false">E10*$B$15</f>
        <v>0.75</v>
      </c>
      <c r="F14" s="22" t="n">
        <f aca="false">F10*$B$15</f>
        <v>0.75</v>
      </c>
      <c r="G14" s="22" t="n">
        <f aca="false">G10*$B$15</f>
        <v>1.0625</v>
      </c>
      <c r="H14" s="22" t="n">
        <f aca="false">H10*$B$15</f>
        <v>1.375</v>
      </c>
      <c r="I14" s="22" t="n">
        <f aca="false">I10*$B$15</f>
        <v>2</v>
      </c>
      <c r="J14" s="22" t="n">
        <f aca="false">J10*$B$15</f>
        <v>2.625</v>
      </c>
      <c r="K14" s="22" t="n">
        <f aca="false">K10*$B$15</f>
        <v>3.25</v>
      </c>
      <c r="L14" s="22" t="n">
        <f aca="false">L10*$B$15</f>
        <v>3.875</v>
      </c>
      <c r="M14" s="22" t="n">
        <f aca="false">M10*$B$15</f>
        <v>4.5</v>
      </c>
      <c r="N14" s="22" t="n">
        <f aca="false">N10*$B$15</f>
        <v>5.125</v>
      </c>
      <c r="O14" s="22" t="n">
        <f aca="false">O10*$B$15</f>
        <v>5.75</v>
      </c>
      <c r="P14" s="22" t="n">
        <f aca="false">P10*$B$15</f>
        <v>6.375</v>
      </c>
      <c r="Q14" s="21" t="n">
        <f aca="false">SUM(E14:P14)</f>
        <v>37.4375</v>
      </c>
    </row>
    <row r="15" customFormat="false" ht="15" hidden="false" customHeight="false" outlineLevel="0" collapsed="false">
      <c r="A15" s="5" t="s">
        <v>175</v>
      </c>
      <c r="B15" s="17" t="n">
        <v>0.25</v>
      </c>
      <c r="C15" s="2"/>
      <c r="D15" s="5" t="s">
        <v>176</v>
      </c>
      <c r="E15" s="22" t="n">
        <f aca="false">E10*$B$16</f>
        <v>0.75</v>
      </c>
      <c r="F15" s="22" t="n">
        <f aca="false">F10*$B$16</f>
        <v>0.75</v>
      </c>
      <c r="G15" s="22" t="n">
        <f aca="false">G10*$B$16</f>
        <v>1.0625</v>
      </c>
      <c r="H15" s="22" t="n">
        <f aca="false">H10*$B$16</f>
        <v>1.375</v>
      </c>
      <c r="I15" s="22" t="n">
        <f aca="false">I10*$B$16</f>
        <v>2</v>
      </c>
      <c r="J15" s="22" t="n">
        <f aca="false">J10*$B$16</f>
        <v>2.625</v>
      </c>
      <c r="K15" s="22" t="n">
        <f aca="false">K10*$B$16</f>
        <v>3.25</v>
      </c>
      <c r="L15" s="22" t="n">
        <f aca="false">L10*$B$16</f>
        <v>3.875</v>
      </c>
      <c r="M15" s="22" t="n">
        <f aca="false">M10*$B$16</f>
        <v>4.5</v>
      </c>
      <c r="N15" s="22" t="n">
        <f aca="false">N10*$B$16</f>
        <v>5.125</v>
      </c>
      <c r="O15" s="22" t="n">
        <f aca="false">O10*$B$16</f>
        <v>5.75</v>
      </c>
      <c r="P15" s="22" t="n">
        <f aca="false">P10*$B$16</f>
        <v>6.375</v>
      </c>
      <c r="Q15" s="21" t="n">
        <f aca="false">SUM(E15:P15)</f>
        <v>37.4375</v>
      </c>
    </row>
    <row r="16" customFormat="false" ht="15" hidden="false" customHeight="false" outlineLevel="0" collapsed="false">
      <c r="A16" s="5" t="s">
        <v>177</v>
      </c>
      <c r="B16" s="18" t="n">
        <v>0.25</v>
      </c>
      <c r="C16" s="2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</row>
    <row r="17" customFormat="false" ht="15" hidden="false" customHeight="false" outlineLevel="0" collapsed="false">
      <c r="A17" s="5" t="s">
        <v>178</v>
      </c>
      <c r="B17" s="17" t="n">
        <v>0.35</v>
      </c>
      <c r="C17" s="2"/>
      <c r="D17" s="5" t="s">
        <v>138</v>
      </c>
      <c r="E17" s="22" t="n">
        <f aca="false">$B$47*(1-$B$19)+E11</f>
        <v>7.49346081936263</v>
      </c>
      <c r="F17" s="22" t="n">
        <f aca="false">E17*(1-$B$19)+F11</f>
        <v>8.91852621116901</v>
      </c>
      <c r="G17" s="22" t="n">
        <f aca="false">F17*(1-$B$19)+G11</f>
        <v>10.9543409490573</v>
      </c>
      <c r="H17" s="22" t="n">
        <f aca="false">G17*(1-$B$19)+H11</f>
        <v>13.5947975395667</v>
      </c>
      <c r="I17" s="22" t="n">
        <f aca="false">H17*(1-$B$19)+I11</f>
        <v>17.4588495641711</v>
      </c>
      <c r="J17" s="22" t="n">
        <f aca="false">I17*(1-$B$19)+J11</f>
        <v>22.5342610685294</v>
      </c>
      <c r="K17" s="22" t="n">
        <f aca="false">J17*(1-$B$19)+K11</f>
        <v>28.8089184578441</v>
      </c>
      <c r="L17" s="22" t="n">
        <f aca="false">K17*(1-$B$19)+L11</f>
        <v>36.2708292732656</v>
      </c>
      <c r="M17" s="22" t="n">
        <f aca="false">L17*(1-$B$19)+M11</f>
        <v>44.908120980533</v>
      </c>
      <c r="N17" s="22" t="n">
        <f aca="false">M17*(1-$B$19)+N11</f>
        <v>54.7090397707276</v>
      </c>
      <c r="O17" s="22" t="n">
        <f aca="false">N17*(1-$B$19)+O11</f>
        <v>65.6619493730204</v>
      </c>
      <c r="P17" s="22" t="n">
        <f aca="false">O17*(1-$B$19)+P11</f>
        <v>77.7553298792902</v>
      </c>
      <c r="Q17" s="2"/>
    </row>
    <row r="18" customFormat="false" ht="15" hidden="false" customHeight="false" outlineLevel="0" collapsed="false">
      <c r="A18" s="5" t="s">
        <v>179</v>
      </c>
      <c r="B18" s="17" t="n">
        <v>0.2</v>
      </c>
      <c r="C18" s="2"/>
      <c r="D18" s="5" t="s">
        <v>140</v>
      </c>
      <c r="E18" s="22" t="n">
        <f aca="false">$B$48*(1-$B$20)+E12</f>
        <v>5.98600788394777</v>
      </c>
      <c r="F18" s="22" t="n">
        <f aca="false">E18*(1-$B$20)+F12</f>
        <v>6.33142764742934</v>
      </c>
      <c r="G18" s="22" t="n">
        <f aca="false">F18*(1-$B$20)+G12</f>
        <v>6.88523481800646</v>
      </c>
      <c r="H18" s="22" t="n">
        <f aca="false">G18*(1-$B$20)+H12</f>
        <v>7.64117777346627</v>
      </c>
      <c r="I18" s="22" t="n">
        <f aca="false">H18*(1-$B$20)+I12</f>
        <v>8.81194244026228</v>
      </c>
      <c r="J18" s="22" t="n">
        <f aca="false">I18*(1-$B$20)+J12</f>
        <v>10.3850841670544</v>
      </c>
      <c r="K18" s="22" t="n">
        <f aca="false">J18*(1-$B$20)+K12</f>
        <v>12.3485316420428</v>
      </c>
      <c r="L18" s="22" t="n">
        <f aca="false">K18*(1-$B$20)+L12</f>
        <v>14.6905756927815</v>
      </c>
      <c r="M18" s="22" t="n">
        <f aca="false">L18*(1-$B$20)+M12</f>
        <v>17.399858421998</v>
      </c>
      <c r="N18" s="22" t="n">
        <f aca="false">M18*(1-$B$20)+N12</f>
        <v>20.4653626693381</v>
      </c>
      <c r="O18" s="22" t="n">
        <f aca="false">N18*(1-$B$20)+O12</f>
        <v>23.876401789258</v>
      </c>
      <c r="P18" s="22" t="n">
        <f aca="false">O18*(1-$B$20)+P12</f>
        <v>27.6226097355802</v>
      </c>
      <c r="Q18" s="2"/>
    </row>
    <row r="19" customFormat="false" ht="15" hidden="false" customHeight="false" outlineLevel="0" collapsed="false">
      <c r="A19" s="5" t="s">
        <v>180</v>
      </c>
      <c r="B19" s="17" t="n">
        <v>0.01</v>
      </c>
      <c r="C19" s="2"/>
      <c r="D19" s="5" t="s">
        <v>181</v>
      </c>
      <c r="E19" s="22" t="n">
        <f aca="false">$B$51*(1-$B$21)+E13</f>
        <v>0.3</v>
      </c>
      <c r="F19" s="22" t="n">
        <f aca="false">E19*(1-$B$21)+F13</f>
        <v>0.588</v>
      </c>
      <c r="G19" s="22" t="n">
        <f aca="false">F19*(1-$B$21)+G13</f>
        <v>0.98948</v>
      </c>
      <c r="H19" s="22" t="n">
        <f aca="false">G19*(1-$B$21)+H13</f>
        <v>1.4999008</v>
      </c>
      <c r="I19" s="22" t="n">
        <f aca="false">H19*(1-$B$21)+I13</f>
        <v>2.239904768</v>
      </c>
      <c r="J19" s="22" t="n">
        <f aca="false">I19*(1-$B$21)+J13</f>
        <v>3.20030857728</v>
      </c>
      <c r="K19" s="22" t="n">
        <f aca="false">J19*(1-$B$21)+K13</f>
        <v>4.3722962341888</v>
      </c>
      <c r="L19" s="22" t="n">
        <f aca="false">K19*(1-$B$21)+L13</f>
        <v>5.74740438482125</v>
      </c>
      <c r="M19" s="22" t="n">
        <f aca="false">L19*(1-$B$21)+M13</f>
        <v>7.3175082094284</v>
      </c>
      <c r="N19" s="22" t="n">
        <f aca="false">M19*(1-$B$21)+N13</f>
        <v>9.07480788105126</v>
      </c>
      <c r="O19" s="22" t="n">
        <f aca="false">N19*(1-$B$21)+O13</f>
        <v>11.0118155658092</v>
      </c>
      <c r="P19" s="22" t="n">
        <f aca="false">O19*(1-$B$21)+P13</f>
        <v>13.1213429431768</v>
      </c>
      <c r="Q19" s="2"/>
    </row>
    <row r="20" customFormat="false" ht="15" hidden="false" customHeight="false" outlineLevel="0" collapsed="false">
      <c r="A20" s="5" t="s">
        <v>182</v>
      </c>
      <c r="B20" s="17" t="n">
        <v>0.03</v>
      </c>
      <c r="C20" s="2"/>
      <c r="D20" s="5" t="s">
        <v>139</v>
      </c>
      <c r="E20" s="22" t="n">
        <f aca="false">$B$49*(1-$B$22)+E14</f>
        <v>6.47112360472464</v>
      </c>
      <c r="F20" s="22" t="n">
        <f aca="false">E20*(1-$B$22)+F14</f>
        <v>7.09170113263015</v>
      </c>
      <c r="G20" s="22" t="n">
        <f aca="false">F20*(1-$B$22)+G14</f>
        <v>8.01236710997755</v>
      </c>
      <c r="H20" s="22" t="n">
        <f aca="false">G20*(1-$B$22)+H14</f>
        <v>9.227119767778</v>
      </c>
      <c r="I20" s="22" t="n">
        <f aca="false">H20*(1-$B$22)+I14</f>
        <v>11.0425773724224</v>
      </c>
      <c r="J20" s="22" t="n">
        <f aca="false">I20*(1-$B$22)+J14</f>
        <v>13.446725824974</v>
      </c>
      <c r="K20" s="22" t="n">
        <f aca="false">J20*(1-$B$22)+K14</f>
        <v>16.4277913084745</v>
      </c>
      <c r="L20" s="22" t="n">
        <f aca="false">K20*(1-$B$22)+L14</f>
        <v>19.974235482305</v>
      </c>
      <c r="M20" s="22" t="n">
        <f aca="false">L20*(1-$B$22)+M14</f>
        <v>24.0747507726589</v>
      </c>
      <c r="N20" s="22" t="n">
        <f aca="false">M20*(1-$B$22)+N14</f>
        <v>28.7182557572057</v>
      </c>
      <c r="O20" s="22" t="n">
        <f aca="false">N20*(1-$B$22)+O14</f>
        <v>33.8938906420616</v>
      </c>
      <c r="P20" s="22" t="n">
        <f aca="false">O20*(1-$B$22)+P14</f>
        <v>39.5910128292204</v>
      </c>
      <c r="Q20" s="2"/>
    </row>
    <row r="21" customFormat="false" ht="15" hidden="false" customHeight="false" outlineLevel="0" collapsed="false">
      <c r="A21" s="5" t="s">
        <v>183</v>
      </c>
      <c r="B21" s="17" t="n">
        <v>0.04</v>
      </c>
      <c r="C21" s="2"/>
      <c r="D21" s="5" t="s">
        <v>141</v>
      </c>
      <c r="E21" s="22" t="n">
        <f aca="false">$B$50*(1-$B$23)+E15</f>
        <v>1.20041769180887</v>
      </c>
      <c r="F21" s="22" t="n">
        <f aca="false">E21*(1-$B$23)+F15</f>
        <v>1.89039680721843</v>
      </c>
      <c r="G21" s="22" t="n">
        <f aca="false">F21*(1-$B$23)+G15</f>
        <v>2.85837696685751</v>
      </c>
      <c r="H21" s="22" t="n">
        <f aca="false">G21*(1-$B$23)+H15</f>
        <v>4.09045811851463</v>
      </c>
      <c r="I21" s="22" t="n">
        <f aca="false">H21*(1-$B$23)+I15</f>
        <v>5.8859352125889</v>
      </c>
      <c r="J21" s="22" t="n">
        <f aca="false">I21*(1-$B$23)+J15</f>
        <v>8.21663845195946</v>
      </c>
      <c r="K21" s="22" t="n">
        <f aca="false">J21*(1-$B$23)+K15</f>
        <v>11.0558065293615</v>
      </c>
      <c r="L21" s="22" t="n">
        <f aca="false">K21*(1-$B$23)+L15</f>
        <v>14.3780162028934</v>
      </c>
      <c r="M21" s="22" t="n">
        <f aca="false">L21*(1-$B$23)+M15</f>
        <v>18.1591153927487</v>
      </c>
      <c r="N21" s="22" t="n">
        <f aca="false">M21*(1-$B$23)+N15</f>
        <v>22.3761596231113</v>
      </c>
      <c r="O21" s="22" t="n">
        <f aca="false">N21*(1-$B$23)+O15</f>
        <v>27.0073516419557</v>
      </c>
      <c r="P21" s="22" t="n">
        <f aca="false">O21*(1-$B$23)+P15</f>
        <v>32.031984059858</v>
      </c>
      <c r="Q21" s="2"/>
    </row>
    <row r="22" customFormat="false" ht="15" hidden="false" customHeight="false" outlineLevel="0" collapsed="false">
      <c r="A22" s="5" t="s">
        <v>184</v>
      </c>
      <c r="B22" s="17" t="n">
        <v>0.02</v>
      </c>
      <c r="C22" s="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</row>
    <row r="23" customFormat="false" ht="15" hidden="false" customHeight="false" outlineLevel="0" collapsed="false">
      <c r="A23" s="5" t="s">
        <v>185</v>
      </c>
      <c r="B23" s="17" t="n">
        <v>0.05</v>
      </c>
      <c r="C23" s="2"/>
      <c r="D23" s="7" t="s">
        <v>142</v>
      </c>
      <c r="E23" s="16" t="n">
        <f aca="false">E17*$B$6+E18*$B$7+E19*$B$8+E20*$B$10+E21*$B$13</f>
        <v>12440.6745705338</v>
      </c>
      <c r="F23" s="16" t="n">
        <f aca="false">F17*$B$6+F18*$B$7+F19*$B$8+F20*$B$10+F21*$B$13</f>
        <v>14099.963772878</v>
      </c>
      <c r="G23" s="16" t="n">
        <f aca="false">G17*$B$6+G18*$B$7+G19*$B$8+G20*$B$10+G21*$B$13</f>
        <v>16525.4989050296</v>
      </c>
      <c r="H23" s="16" t="n">
        <f aca="false">H17*$B$6+H18*$B$7+H19*$B$8+H20*$B$10+H21*$B$13</f>
        <v>19694.1071171106</v>
      </c>
      <c r="I23" s="16" t="n">
        <f aca="false">I17*$B$6+I18*$B$7+I19*$B$8+I20*$B$10+I21*$B$13</f>
        <v>24401.5874583538</v>
      </c>
      <c r="J23" s="16" t="n">
        <f aca="false">J17*$B$6+J18*$B$7+J19*$B$8+J20*$B$10+J21*$B$13</f>
        <v>30601.2879874603</v>
      </c>
      <c r="K23" s="16" t="n">
        <f aca="false">K17*$B$6+K18*$B$7+K19*$B$8+K20*$B$10+K21*$B$13</f>
        <v>38248.2657352269</v>
      </c>
      <c r="L23" s="16" t="n">
        <f aca="false">L17*$B$6+L18*$B$7+L19*$B$8+L20*$B$10+L21*$B$13</f>
        <v>47299.2151686613</v>
      </c>
      <c r="M23" s="16" t="n">
        <f aca="false">M17*$B$6+M18*$B$7+M19*$B$8+M20*$B$10+M21*$B$13</f>
        <v>57712.3998973709</v>
      </c>
      <c r="N23" s="16" t="n">
        <f aca="false">N17*$B$6+N18*$B$7+N19*$B$8+N20*$B$10+N21*$B$13</f>
        <v>69447.5874687809</v>
      </c>
      <c r="O23" s="16" t="n">
        <f aca="false">O17*$B$6+O18*$B$7+O19*$B$8+O20*$B$10+O21*$B$13</f>
        <v>82465.9871061658</v>
      </c>
      <c r="P23" s="16" t="n">
        <f aca="false">P17*$B$6+P18*$B$7+P19*$B$8+P20*$B$10+P21*$B$13</f>
        <v>96730.190250547</v>
      </c>
      <c r="Q23" s="2"/>
    </row>
    <row r="24" customFormat="false" ht="15" hidden="false" customHeight="false" outlineLevel="0" collapsed="false">
      <c r="A24" s="5" t="s">
        <v>186</v>
      </c>
      <c r="B24" s="20" t="n">
        <v>5</v>
      </c>
      <c r="C24" s="2"/>
      <c r="D24" s="5" t="s">
        <v>143</v>
      </c>
      <c r="E24" s="26" t="n">
        <f aca="false">E11*$B$5+E13*$B$9+E14*$B$11+E15*$B$12</f>
        <v>6252</v>
      </c>
      <c r="F24" s="26" t="n">
        <f aca="false">F11*$B$5+F13*$B$9+F14*$B$11+F15*$B$12</f>
        <v>6252</v>
      </c>
      <c r="G24" s="26" t="n">
        <f aca="false">G11*$B$5+G13*$B$9+G14*$B$11+G15*$B$12</f>
        <v>8857</v>
      </c>
      <c r="H24" s="26" t="n">
        <f aca="false">H11*$B$5+H13*$B$9+H14*$B$11+H15*$B$12</f>
        <v>11462</v>
      </c>
      <c r="I24" s="26" t="n">
        <f aca="false">I11*$B$5+I13*$B$9+I14*$B$11+I15*$B$12</f>
        <v>16672</v>
      </c>
      <c r="J24" s="26" t="n">
        <f aca="false">J11*$B$5+J13*$B$9+J14*$B$11+J15*$B$12</f>
        <v>21882</v>
      </c>
      <c r="K24" s="26" t="n">
        <f aca="false">K11*$B$5+K13*$B$9+K14*$B$11+K15*$B$12</f>
        <v>27092</v>
      </c>
      <c r="L24" s="26" t="n">
        <f aca="false">L11*$B$5+L13*$B$9+L14*$B$11+L15*$B$12</f>
        <v>32302</v>
      </c>
      <c r="M24" s="26" t="n">
        <f aca="false">M11*$B$5+M13*$B$9+M14*$B$11+M15*$B$12</f>
        <v>37512</v>
      </c>
      <c r="N24" s="26" t="n">
        <f aca="false">N11*$B$5+N13*$B$9+N14*$B$11+N15*$B$12</f>
        <v>42722</v>
      </c>
      <c r="O24" s="26" t="n">
        <f aca="false">O11*$B$5+O13*$B$9+O14*$B$11+O15*$B$12</f>
        <v>47932</v>
      </c>
      <c r="P24" s="26" t="n">
        <f aca="false">P11*$B$5+P13*$B$9+P14*$B$11+P15*$B$12</f>
        <v>53142</v>
      </c>
      <c r="Q24" s="16" t="n">
        <f aca="false">SUM(E24:P24)</f>
        <v>312079</v>
      </c>
    </row>
    <row r="25" customFormat="false" ht="15" hidden="false" customHeight="false" outlineLevel="0" collapsed="false">
      <c r="A25" s="5" t="s">
        <v>187</v>
      </c>
      <c r="B25" s="13" t="n">
        <v>3</v>
      </c>
      <c r="C25" s="2"/>
      <c r="D25" s="7" t="s">
        <v>144</v>
      </c>
      <c r="E25" s="16" t="n">
        <f aca="false">E23+E24</f>
        <v>18692.6745705338</v>
      </c>
      <c r="F25" s="16" t="n">
        <f aca="false">F23+F24</f>
        <v>20351.963772878</v>
      </c>
      <c r="G25" s="16" t="n">
        <f aca="false">G23+G24</f>
        <v>25382.4989050296</v>
      </c>
      <c r="H25" s="16" t="n">
        <f aca="false">H23+H24</f>
        <v>31156.1071171106</v>
      </c>
      <c r="I25" s="16" t="n">
        <f aca="false">I23+I24</f>
        <v>41073.5874583538</v>
      </c>
      <c r="J25" s="16" t="n">
        <f aca="false">J23+J24</f>
        <v>52483.2879874603</v>
      </c>
      <c r="K25" s="16" t="n">
        <f aca="false">K23+K24</f>
        <v>65340.2657352269</v>
      </c>
      <c r="L25" s="16" t="n">
        <f aca="false">L23+L24</f>
        <v>79601.2151686613</v>
      </c>
      <c r="M25" s="16" t="n">
        <f aca="false">M23+M24</f>
        <v>95224.3998973709</v>
      </c>
      <c r="N25" s="16" t="n">
        <f aca="false">N23+N24</f>
        <v>112169.587468781</v>
      </c>
      <c r="O25" s="16" t="n">
        <f aca="false">O23+O24</f>
        <v>130397.987106166</v>
      </c>
      <c r="P25" s="16" t="n">
        <f aca="false">P23+P24</f>
        <v>149872.190250547</v>
      </c>
      <c r="Q25" s="16" t="n">
        <f aca="false">SUM(E25:P25)</f>
        <v>821745.765438119</v>
      </c>
    </row>
    <row r="26" customFormat="false" ht="15" hidden="false" customHeight="false" outlineLevel="0" collapsed="false">
      <c r="A26" s="5" t="s">
        <v>188</v>
      </c>
      <c r="B26" s="12" t="n">
        <v>3500</v>
      </c>
      <c r="C26" s="2"/>
      <c r="D26" s="5" t="s">
        <v>189</v>
      </c>
      <c r="E26" s="26" t="n">
        <f aca="false">E25*12</f>
        <v>224312.094846406</v>
      </c>
      <c r="F26" s="26" t="n">
        <f aca="false">F25*12</f>
        <v>244223.565274537</v>
      </c>
      <c r="G26" s="26" t="n">
        <f aca="false">G25*12</f>
        <v>304589.986860355</v>
      </c>
      <c r="H26" s="26" t="n">
        <f aca="false">H25*12</f>
        <v>373873.285405327</v>
      </c>
      <c r="I26" s="26" t="n">
        <f aca="false">I25*12</f>
        <v>492883.049500246</v>
      </c>
      <c r="J26" s="26" t="n">
        <f aca="false">J25*12</f>
        <v>629799.455849524</v>
      </c>
      <c r="K26" s="26" t="n">
        <f aca="false">K25*12</f>
        <v>784083.188822723</v>
      </c>
      <c r="L26" s="26" t="n">
        <f aca="false">L25*12</f>
        <v>955214.582023935</v>
      </c>
      <c r="M26" s="26" t="n">
        <f aca="false">M25*12</f>
        <v>1142692.79876845</v>
      </c>
      <c r="N26" s="26" t="n">
        <f aca="false">N25*12</f>
        <v>1346035.04962537</v>
      </c>
      <c r="O26" s="26" t="n">
        <f aca="false">O25*12</f>
        <v>1564775.84527399</v>
      </c>
      <c r="P26" s="26" t="n">
        <f aca="false">P25*12</f>
        <v>1798466.28300656</v>
      </c>
      <c r="Q26" s="2"/>
    </row>
    <row r="27" customFormat="false" ht="15" hidden="false" customHeight="false" outlineLevel="0" collapsed="false">
      <c r="A27" s="5" t="s">
        <v>190</v>
      </c>
      <c r="B27" s="12" t="n">
        <v>2600</v>
      </c>
      <c r="C27" s="2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</row>
    <row r="28" customFormat="false" ht="15" hidden="false" customHeight="false" outlineLevel="0" collapsed="false">
      <c r="A28" s="5" t="s">
        <v>191</v>
      </c>
      <c r="B28" s="17" t="n">
        <v>0.08</v>
      </c>
      <c r="C28" s="2"/>
      <c r="D28" s="5" t="s">
        <v>192</v>
      </c>
      <c r="E28" s="22" t="n">
        <f aca="false">E11*$B$31+E18*$B$32+E19*$B$33+E20*$B$34+E15*$B$35+E21*$B$36+E17*$B$37</f>
        <v>169.091616253578</v>
      </c>
      <c r="F28" s="22" t="n">
        <f aca="false">F11*$B$31+F18*$B$32+F19*$B$33+F20*$B$34+F15*$B$35+F21*$B$36+F17*$B$37</f>
        <v>185.353016122648</v>
      </c>
      <c r="G28" s="22" t="n">
        <f aca="false">G11*$B$31+G18*$B$32+G19*$B$33+G20*$B$34+G15*$B$35+G21*$B$36+G17*$B$37</f>
        <v>224.860562390467</v>
      </c>
      <c r="H28" s="22" t="n">
        <f aca="false">H11*$B$31+H18*$B$32+H19*$B$33+H20*$B$34+H15*$B$35+H21*$B$36+H17*$B$37</f>
        <v>271.760972113384</v>
      </c>
      <c r="I28" s="22" t="n">
        <f aca="false">I11*$B$31+I18*$B$32+I19*$B$33+I20*$B$34+I15*$B$35+I21*$B$36+I17*$B$37</f>
        <v>349.584076144439</v>
      </c>
      <c r="J28" s="22" t="n">
        <f aca="false">J11*$B$31+J18*$B$32+J19*$B$33+J20*$B$34+J15*$B$35+J21*$B$36+J17*$B$37</f>
        <v>442.245613943103</v>
      </c>
      <c r="K28" s="22" t="n">
        <f aca="false">K11*$B$31+K18*$B$32+K19*$B$33+K20*$B$34+K15*$B$35+K21*$B$36+K17*$B$37</f>
        <v>549.302686807875</v>
      </c>
      <c r="L28" s="22" t="n">
        <f aca="false">L11*$B$31+L18*$B$32+L19*$B$33+L20*$B$34+L15*$B$35+L21*$B$36+L17*$B$37</f>
        <v>670.328090783352</v>
      </c>
      <c r="M28" s="22" t="n">
        <f aca="false">M11*$B$31+M18*$B$32+M19*$B$33+M20*$B$34+M15*$B$35+M21*$B$36+M17*$B$37</f>
        <v>804.909679248241</v>
      </c>
      <c r="N28" s="22" t="n">
        <f aca="false">N11*$B$31+N18*$B$32+N19*$B$33+N20*$B$34+N15*$B$35+N21*$B$36+N17*$B$37</f>
        <v>952.649753795854</v>
      </c>
      <c r="O28" s="22" t="n">
        <f aca="false">O11*$B$31+O18*$B$32+O19*$B$33+O20*$B$34+O15*$B$35+O21*$B$36+O17*$B$37</f>
        <v>1113.16448208537</v>
      </c>
      <c r="P28" s="22" t="n">
        <f aca="false">P11*$B$31+P18*$B$32+P19*$B$33+P20*$B$34+P15*$B$35+P21*$B$36+P17*$B$37</f>
        <v>1286.08334140567</v>
      </c>
      <c r="Q28" s="21" t="n">
        <f aca="false">SUM(E28:P28)</f>
        <v>7019.33389109398</v>
      </c>
    </row>
    <row r="29" customFormat="false" ht="15" hidden="false" customHeight="false" outlineLevel="0" collapsed="false">
      <c r="A29" s="5" t="s">
        <v>193</v>
      </c>
      <c r="B29" s="17" t="n">
        <v>0.5</v>
      </c>
      <c r="C29" s="2"/>
      <c r="D29" s="5" t="s">
        <v>194</v>
      </c>
      <c r="E29" s="22" t="n">
        <f aca="false">E28/140</f>
        <v>1.20779725895413</v>
      </c>
      <c r="F29" s="22" t="n">
        <f aca="false">F28/140</f>
        <v>1.32395011516177</v>
      </c>
      <c r="G29" s="22" t="n">
        <f aca="false">G28/140</f>
        <v>1.60614687421762</v>
      </c>
      <c r="H29" s="22" t="n">
        <f aca="false">H28/140</f>
        <v>1.94114980080989</v>
      </c>
      <c r="I29" s="22" t="n">
        <f aca="false">I28/140</f>
        <v>2.49702911531742</v>
      </c>
      <c r="J29" s="22" t="n">
        <f aca="false">J28/140</f>
        <v>3.15889724245074</v>
      </c>
      <c r="K29" s="22" t="n">
        <f aca="false">K28/140</f>
        <v>3.92359062005625</v>
      </c>
      <c r="L29" s="22" t="n">
        <f aca="false">L28/140</f>
        <v>4.78805779130965</v>
      </c>
      <c r="M29" s="22" t="n">
        <f aca="false">M28/140</f>
        <v>5.74935485177315</v>
      </c>
      <c r="N29" s="22" t="n">
        <f aca="false">N28/140</f>
        <v>6.80464109854182</v>
      </c>
      <c r="O29" s="22" t="n">
        <f aca="false">O28/140</f>
        <v>7.95117487203838</v>
      </c>
      <c r="P29" s="22" t="n">
        <f aca="false">P28/140</f>
        <v>9.18630958146907</v>
      </c>
      <c r="Q29" s="2"/>
    </row>
    <row r="30" customFormat="false" ht="15" hidden="false" customHeight="false" outlineLevel="0" collapsed="false">
      <c r="A30" s="5" t="s">
        <v>195</v>
      </c>
      <c r="B30" s="27" t="n">
        <v>900</v>
      </c>
      <c r="C30" s="2"/>
      <c r="D30" s="5" t="s">
        <v>196</v>
      </c>
      <c r="E30" s="26" t="n">
        <f aca="false">E28*$B$38</f>
        <v>7778.21434766458</v>
      </c>
      <c r="F30" s="26" t="n">
        <f aca="false">F28*$B$38</f>
        <v>8526.23874164179</v>
      </c>
      <c r="G30" s="26" t="n">
        <f aca="false">G28*$B$38</f>
        <v>10343.5858699615</v>
      </c>
      <c r="H30" s="26" t="n">
        <f aca="false">H28*$B$38</f>
        <v>12501.0047172157</v>
      </c>
      <c r="I30" s="26" t="n">
        <f aca="false">I28*$B$38</f>
        <v>16080.8675026442</v>
      </c>
      <c r="J30" s="26" t="n">
        <f aca="false">J28*$B$38</f>
        <v>20343.2982413828</v>
      </c>
      <c r="K30" s="26" t="n">
        <f aca="false">K28*$B$38</f>
        <v>25267.9235931623</v>
      </c>
      <c r="L30" s="26" t="n">
        <f aca="false">L28*$B$38</f>
        <v>30835.0921760342</v>
      </c>
      <c r="M30" s="26" t="n">
        <f aca="false">M28*$B$38</f>
        <v>37025.8452454191</v>
      </c>
      <c r="N30" s="26" t="n">
        <f aca="false">N28*$B$38</f>
        <v>43821.8886746093</v>
      </c>
      <c r="O30" s="26" t="n">
        <f aca="false">O28*$B$38</f>
        <v>51205.5661759271</v>
      </c>
      <c r="P30" s="26" t="n">
        <f aca="false">P28*$B$38</f>
        <v>59159.8337046608</v>
      </c>
      <c r="Q30" s="16" t="n">
        <f aca="false">SUM(E30:P30)</f>
        <v>322889.358990323</v>
      </c>
    </row>
    <row r="31" customFormat="false" ht="15" hidden="false" customHeight="false" outlineLevel="0" collapsed="false">
      <c r="A31" s="5" t="s">
        <v>197</v>
      </c>
      <c r="B31" s="13" t="n">
        <v>20</v>
      </c>
      <c r="C31" s="2"/>
      <c r="D31" s="5" t="s">
        <v>198</v>
      </c>
      <c r="E31" s="26" t="n">
        <f aca="false">E7*$B$26+E6*$B$27+E25*$B$28</f>
        <v>1495.41396564271</v>
      </c>
      <c r="F31" s="26" t="n">
        <f aca="false">F7*$B$26+F6*$B$27+F25*$B$28</f>
        <v>4228.15710183024</v>
      </c>
      <c r="G31" s="26" t="n">
        <f aca="false">G7*$B$26+G6*$B$27+G25*$B$28</f>
        <v>8130.59991240237</v>
      </c>
      <c r="H31" s="26" t="n">
        <f aca="false">H7*$B$26+H6*$B$27+H25*$B$28</f>
        <v>11192.4885693688</v>
      </c>
      <c r="I31" s="26" t="n">
        <f aca="false">I7*$B$26+I6*$B$27+I25*$B$28</f>
        <v>15485.8869966683</v>
      </c>
      <c r="J31" s="26" t="n">
        <f aca="false">J7*$B$26+J6*$B$27+J25*$B$28</f>
        <v>18998.6630389968</v>
      </c>
      <c r="K31" s="26" t="n">
        <f aca="false">K7*$B$26+K6*$B$27+K25*$B$28</f>
        <v>23527.2212588182</v>
      </c>
      <c r="L31" s="26" t="n">
        <f aca="false">L7*$B$26+L6*$B$27+L25*$B$28</f>
        <v>27268.0972134929</v>
      </c>
      <c r="M31" s="26" t="n">
        <f aca="false">M7*$B$26+M6*$B$27+M25*$B$28</f>
        <v>32017.9519917897</v>
      </c>
      <c r="N31" s="26" t="n">
        <f aca="false">N7*$B$26+N6*$B$27+N25*$B$28</f>
        <v>35973.5669975025</v>
      </c>
      <c r="O31" s="26" t="n">
        <f aca="false">O7*$B$26+O6*$B$27+O25*$B$28</f>
        <v>40931.8389684933</v>
      </c>
      <c r="P31" s="26" t="n">
        <f aca="false">P7*$B$26+P6*$B$27+P25*$B$28</f>
        <v>45089.7752200438</v>
      </c>
      <c r="Q31" s="16" t="n">
        <f aca="false">SUM(E31:P31)</f>
        <v>264339.66123505</v>
      </c>
    </row>
    <row r="32" customFormat="false" ht="15" hidden="false" customHeight="false" outlineLevel="0" collapsed="false">
      <c r="A32" s="5" t="s">
        <v>104</v>
      </c>
      <c r="B32" s="13" t="n">
        <v>6</v>
      </c>
      <c r="C32" s="2"/>
      <c r="D32" s="5" t="s">
        <v>199</v>
      </c>
      <c r="E32" s="26" t="n">
        <f aca="false">E10*$B$29*$B$30</f>
        <v>1350</v>
      </c>
      <c r="F32" s="26" t="n">
        <f aca="false">F10*$B$29*$B$30</f>
        <v>1350</v>
      </c>
      <c r="G32" s="26" t="n">
        <f aca="false">G10*$B$29*$B$30</f>
        <v>1912.5</v>
      </c>
      <c r="H32" s="26" t="n">
        <f aca="false">H10*$B$29*$B$30</f>
        <v>2475</v>
      </c>
      <c r="I32" s="26" t="n">
        <f aca="false">I10*$B$29*$B$30</f>
        <v>3600</v>
      </c>
      <c r="J32" s="26" t="n">
        <f aca="false">J10*$B$29*$B$30</f>
        <v>4725</v>
      </c>
      <c r="K32" s="26" t="n">
        <f aca="false">K10*$B$29*$B$30</f>
        <v>5850</v>
      </c>
      <c r="L32" s="26" t="n">
        <f aca="false">L10*$B$29*$B$30</f>
        <v>6975</v>
      </c>
      <c r="M32" s="26" t="n">
        <f aca="false">M10*$B$29*$B$30</f>
        <v>8100</v>
      </c>
      <c r="N32" s="26" t="n">
        <f aca="false">N10*$B$29*$B$30</f>
        <v>9225</v>
      </c>
      <c r="O32" s="26" t="n">
        <f aca="false">O10*$B$29*$B$30</f>
        <v>10350</v>
      </c>
      <c r="P32" s="26" t="n">
        <f aca="false">P10*$B$29*$B$30</f>
        <v>11475</v>
      </c>
      <c r="Q32" s="16" t="n">
        <f aca="false">SUM(E32:P32)</f>
        <v>67387.5</v>
      </c>
    </row>
    <row r="33" customFormat="false" ht="15" hidden="false" customHeight="false" outlineLevel="0" collapsed="false">
      <c r="A33" s="5" t="s">
        <v>200</v>
      </c>
      <c r="B33" s="13" t="n">
        <v>3</v>
      </c>
      <c r="C33" s="2"/>
      <c r="D33" s="5" t="s">
        <v>201</v>
      </c>
      <c r="E33" s="26" t="n">
        <f aca="false">$B$39+($B$40-$B$39)*0/11</f>
        <v>1500</v>
      </c>
      <c r="F33" s="26" t="n">
        <f aca="false">$B$39+($B$40-$B$39)*1/11</f>
        <v>1727.27272727273</v>
      </c>
      <c r="G33" s="26" t="n">
        <f aca="false">$B$39+($B$40-$B$39)*2/11</f>
        <v>1954.54545454545</v>
      </c>
      <c r="H33" s="26" t="n">
        <f aca="false">$B$39+($B$40-$B$39)*3/11</f>
        <v>2181.81818181818</v>
      </c>
      <c r="I33" s="26" t="n">
        <f aca="false">$B$39+($B$40-$B$39)*4/11</f>
        <v>2409.09090909091</v>
      </c>
      <c r="J33" s="26" t="n">
        <f aca="false">$B$39+($B$40-$B$39)*5/11</f>
        <v>2636.36363636364</v>
      </c>
      <c r="K33" s="26" t="n">
        <f aca="false">$B$39+($B$40-$B$39)*6/11</f>
        <v>2863.63636363636</v>
      </c>
      <c r="L33" s="26" t="n">
        <f aca="false">$B$39+($B$40-$B$39)*7/11</f>
        <v>3090.90909090909</v>
      </c>
      <c r="M33" s="26" t="n">
        <f aca="false">$B$39+($B$40-$B$39)*8/11</f>
        <v>3318.18181818182</v>
      </c>
      <c r="N33" s="26" t="n">
        <f aca="false">$B$39+($B$40-$B$39)*9/11</f>
        <v>3545.45454545455</v>
      </c>
      <c r="O33" s="26" t="n">
        <f aca="false">$B$39+($B$40-$B$39)*10/11</f>
        <v>3772.72727272727</v>
      </c>
      <c r="P33" s="26" t="n">
        <f aca="false">$B$39+($B$40-$B$39)*11/11</f>
        <v>4000</v>
      </c>
      <c r="Q33" s="16" t="n">
        <f aca="false">SUM(E33:P33)</f>
        <v>33000</v>
      </c>
    </row>
    <row r="34" customFormat="false" ht="15" hidden="false" customHeight="false" outlineLevel="0" collapsed="false">
      <c r="A34" s="5" t="s">
        <v>103</v>
      </c>
      <c r="B34" s="13" t="n">
        <v>13</v>
      </c>
      <c r="C34" s="2"/>
      <c r="D34" s="5" t="s">
        <v>202</v>
      </c>
      <c r="E34" s="26" t="n">
        <f aca="false">$B$41</f>
        <v>5000</v>
      </c>
      <c r="F34" s="26" t="n">
        <f aca="false">$B$41</f>
        <v>5000</v>
      </c>
      <c r="G34" s="26" t="n">
        <f aca="false">$B$41</f>
        <v>5000</v>
      </c>
      <c r="H34" s="26" t="n">
        <f aca="false">$B$41</f>
        <v>5000</v>
      </c>
      <c r="I34" s="26" t="n">
        <f aca="false">$B$41</f>
        <v>5000</v>
      </c>
      <c r="J34" s="26" t="n">
        <f aca="false">$B$41</f>
        <v>5000</v>
      </c>
      <c r="K34" s="26" t="n">
        <f aca="false">$B$41</f>
        <v>5000</v>
      </c>
      <c r="L34" s="26" t="n">
        <f aca="false">$B$41</f>
        <v>5000</v>
      </c>
      <c r="M34" s="26" t="n">
        <f aca="false">$B$41</f>
        <v>5000</v>
      </c>
      <c r="N34" s="26" t="n">
        <f aca="false">$B$41</f>
        <v>5000</v>
      </c>
      <c r="O34" s="26" t="n">
        <f aca="false">$B$41</f>
        <v>5000</v>
      </c>
      <c r="P34" s="26" t="n">
        <f aca="false">$B$41</f>
        <v>5000</v>
      </c>
      <c r="Q34" s="16" t="n">
        <f aca="false">SUM(E34:P34)</f>
        <v>60000</v>
      </c>
    </row>
    <row r="35" customFormat="false" ht="15" hidden="false" customHeight="false" outlineLevel="0" collapsed="false">
      <c r="A35" s="5" t="s">
        <v>203</v>
      </c>
      <c r="B35" s="13" t="n">
        <v>10</v>
      </c>
      <c r="C35" s="2"/>
      <c r="D35" s="7" t="s">
        <v>204</v>
      </c>
      <c r="E35" s="16" t="n">
        <f aca="false">SUM(E30:E34)</f>
        <v>17123.6283133073</v>
      </c>
      <c r="F35" s="16" t="n">
        <f aca="false">SUM(F30:F34)</f>
        <v>20831.6685707448</v>
      </c>
      <c r="G35" s="16" t="n">
        <f aca="false">SUM(G30:G34)</f>
        <v>27341.2312369093</v>
      </c>
      <c r="H35" s="16" t="n">
        <f aca="false">SUM(H30:H34)</f>
        <v>33350.3114684027</v>
      </c>
      <c r="I35" s="16" t="n">
        <f aca="false">SUM(I30:I34)</f>
        <v>42575.8454084034</v>
      </c>
      <c r="J35" s="16" t="n">
        <f aca="false">SUM(J30:J34)</f>
        <v>51703.3249167432</v>
      </c>
      <c r="K35" s="16" t="n">
        <f aca="false">SUM(K30:K34)</f>
        <v>62508.7812156168</v>
      </c>
      <c r="L35" s="16" t="n">
        <f aca="false">SUM(L30:L34)</f>
        <v>73169.0984804362</v>
      </c>
      <c r="M35" s="16" t="n">
        <f aca="false">SUM(M30:M34)</f>
        <v>85461.9790553906</v>
      </c>
      <c r="N35" s="16" t="n">
        <f aca="false">SUM(N30:N34)</f>
        <v>97565.9102175663</v>
      </c>
      <c r="O35" s="16" t="n">
        <f aca="false">SUM(O30:O34)</f>
        <v>111260.132417148</v>
      </c>
      <c r="P35" s="16" t="n">
        <f aca="false">SUM(P30:P34)</f>
        <v>124724.608924705</v>
      </c>
      <c r="Q35" s="16" t="n">
        <f aca="false">SUM(E35:P35)</f>
        <v>747616.520225373</v>
      </c>
    </row>
    <row r="36" customFormat="false" ht="15" hidden="false" customHeight="false" outlineLevel="0" collapsed="false">
      <c r="A36" s="5" t="s">
        <v>105</v>
      </c>
      <c r="B36" s="13" t="n">
        <v>7</v>
      </c>
      <c r="C36" s="2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</row>
    <row r="37" customFormat="false" ht="15" hidden="false" customHeight="false" outlineLevel="0" collapsed="false">
      <c r="A37" s="5" t="s">
        <v>102</v>
      </c>
      <c r="B37" s="13" t="n">
        <v>0.3</v>
      </c>
      <c r="C37" s="2"/>
      <c r="D37" s="7" t="s">
        <v>205</v>
      </c>
      <c r="E37" s="16" t="n">
        <f aca="false">E25-E35</f>
        <v>1569.04625722654</v>
      </c>
      <c r="F37" s="16" t="n">
        <f aca="false">F25-F35</f>
        <v>-479.704797866722</v>
      </c>
      <c r="G37" s="16" t="n">
        <f aca="false">G25-G35</f>
        <v>-1958.73233187969</v>
      </c>
      <c r="H37" s="16" t="n">
        <f aca="false">H25-H35</f>
        <v>-2194.20435129209</v>
      </c>
      <c r="I37" s="16" t="n">
        <f aca="false">I25-I35</f>
        <v>-1502.25795004958</v>
      </c>
      <c r="J37" s="16" t="n">
        <f aca="false">J25-J35</f>
        <v>779.963070717109</v>
      </c>
      <c r="K37" s="16" t="n">
        <f aca="false">K25-K35</f>
        <v>2831.48451961014</v>
      </c>
      <c r="L37" s="16" t="n">
        <f aca="false">L25-L35</f>
        <v>6432.11668822511</v>
      </c>
      <c r="M37" s="16" t="n">
        <f aca="false">M25-M35</f>
        <v>9762.42084198038</v>
      </c>
      <c r="N37" s="16" t="n">
        <f aca="false">N25-N35</f>
        <v>14603.6772512146</v>
      </c>
      <c r="O37" s="16" t="n">
        <f aca="false">O25-O35</f>
        <v>19137.8546890181</v>
      </c>
      <c r="P37" s="16" t="n">
        <f aca="false">P25-P35</f>
        <v>25147.5813258424</v>
      </c>
      <c r="Q37" s="16" t="n">
        <f aca="false">SUM(E37:P37)</f>
        <v>74129.2452127463</v>
      </c>
    </row>
    <row r="38" customFormat="false" ht="15" hidden="false" customHeight="false" outlineLevel="0" collapsed="false">
      <c r="A38" s="5" t="s">
        <v>206</v>
      </c>
      <c r="B38" s="12" t="n">
        <v>46</v>
      </c>
      <c r="C38" s="2"/>
      <c r="D38" s="7" t="s">
        <v>147</v>
      </c>
      <c r="E38" s="16" t="n">
        <f aca="false">E37</f>
        <v>1569.04625722654</v>
      </c>
      <c r="F38" s="16" t="n">
        <f aca="false">E38+F37</f>
        <v>1089.34145935981</v>
      </c>
      <c r="G38" s="16" t="n">
        <f aca="false">F38+G37</f>
        <v>-869.390872519874</v>
      </c>
      <c r="H38" s="16" t="n">
        <f aca="false">G38+H37</f>
        <v>-3063.59522381196</v>
      </c>
      <c r="I38" s="16" t="n">
        <f aca="false">H38+I37</f>
        <v>-4565.85317386154</v>
      </c>
      <c r="J38" s="16" t="n">
        <f aca="false">I38+J37</f>
        <v>-3785.89010314443</v>
      </c>
      <c r="K38" s="16" t="n">
        <f aca="false">J38+K37</f>
        <v>-954.405583534292</v>
      </c>
      <c r="L38" s="16" t="n">
        <f aca="false">K38+L37</f>
        <v>5477.71110469082</v>
      </c>
      <c r="M38" s="16" t="n">
        <f aca="false">L38+M37</f>
        <v>15240.1319466712</v>
      </c>
      <c r="N38" s="16" t="n">
        <f aca="false">M38+N37</f>
        <v>29843.8091978858</v>
      </c>
      <c r="O38" s="16" t="n">
        <f aca="false">N38+O37</f>
        <v>48981.6638869039</v>
      </c>
      <c r="P38" s="16" t="n">
        <f aca="false">O38+P37</f>
        <v>74129.2452127463</v>
      </c>
      <c r="Q38" s="2"/>
    </row>
    <row r="39" customFormat="false" ht="15" hidden="false" customHeight="false" outlineLevel="0" collapsed="false">
      <c r="A39" s="5" t="s">
        <v>207</v>
      </c>
      <c r="B39" s="12" t="n">
        <v>1500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customFormat="false" ht="15" hidden="false" customHeight="false" outlineLevel="0" collapsed="false">
      <c r="A40" s="5" t="s">
        <v>208</v>
      </c>
      <c r="B40" s="12" t="n">
        <v>4000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customFormat="false" ht="15" hidden="false" customHeight="false" outlineLevel="0" collapsed="false">
      <c r="A41" s="5" t="s">
        <v>209</v>
      </c>
      <c r="B41" s="12" t="n">
        <v>5000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customFormat="false" ht="15" hidden="false" customHeight="false" outlineLevel="0" collapsed="false">
      <c r="A42" s="5" t="s">
        <v>210</v>
      </c>
      <c r="B42" s="17" t="n">
        <v>0.25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customFormat="false" ht="15" hidden="false" customHeight="false" outlineLevel="0" collapsed="false">
      <c r="A43" s="5" t="s">
        <v>211</v>
      </c>
      <c r="B43" s="17" t="n">
        <v>0.5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customFormat="false" ht="15" hidden="false" customHeight="false" outlineLevel="0" collapsed="false">
      <c r="A44" s="5" t="s">
        <v>212</v>
      </c>
      <c r="B44" s="17" t="n">
        <v>0.75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customFormat="false" ht="15" hidden="false" customHeight="false" outlineLevel="0" collapsed="false">
      <c r="A46" s="7" t="s">
        <v>213</v>
      </c>
      <c r="B46" s="28" t="n">
        <f aca="false">COUNTIF('Solo Basis'!B19:Y19,"&lt;10000")+1</f>
        <v>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customFormat="false" ht="15" hidden="false" customHeight="false" outlineLevel="0" collapsed="false">
      <c r="A47" s="5" t="s">
        <v>214</v>
      </c>
      <c r="B47" s="9" t="n">
        <f aca="false">INDEX('Solo Basis'!B14:Y14,1,$B$46)</f>
        <v>6.05400082763902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customFormat="false" ht="15" hidden="false" customHeight="false" outlineLevel="0" collapsed="false">
      <c r="A48" s="5" t="s">
        <v>215</v>
      </c>
      <c r="B48" s="9" t="n">
        <f aca="false">INDEX('Solo Basis'!B16:Y16,1,$B$46)</f>
        <v>5.6299050349977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customFormat="false" ht="15" hidden="false" customHeight="false" outlineLevel="0" collapsed="false">
      <c r="A49" s="5" t="s">
        <v>216</v>
      </c>
      <c r="B49" s="9" t="n">
        <f aca="false">INDEX('Solo Basis'!B15:Y15,1,$B$46)</f>
        <v>5.83788122931086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customFormat="false" ht="15" hidden="false" customHeight="false" outlineLevel="0" collapsed="false">
      <c r="A50" s="5" t="s">
        <v>217</v>
      </c>
      <c r="B50" s="9" t="n">
        <f aca="false">INDEX('Solo Basis'!B17:Y17,1,$B$46)</f>
        <v>0.474123886114604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customFormat="false" ht="15" hidden="false" customHeight="false" outlineLevel="0" collapsed="false">
      <c r="A51" s="5" t="s">
        <v>218</v>
      </c>
      <c r="B51" s="11" t="n">
        <v>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2026-10-07T07:45:28Z</dcterms:created>
  <dc:creator>openpyxl</dc:creator>
  <dc:description/>
  <dc:language>en-US</dc:language>
  <cp:lastModifiedBy/>
  <dcterms:modified xsi:type="dcterms:W3CDTF">2026-10-07T07:45:40Z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