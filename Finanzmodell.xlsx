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ersicht" sheetId="1" state="visible" r:id="rId1"/>
    <sheet xmlns:r="http://schemas.openxmlformats.org/officeDocument/2006/relationships" name="Preise" sheetId="2" state="visible" r:id="rId2"/>
    <sheet xmlns:r="http://schemas.openxmlformats.org/officeDocument/2006/relationships" name="Annahmen" sheetId="3" state="visible" r:id="rId3"/>
    <sheet xmlns:r="http://schemas.openxmlformats.org/officeDocument/2006/relationships" name="Solo Konservativ" sheetId="4" state="visible" r:id="rId4"/>
    <sheet xmlns:r="http://schemas.openxmlformats.org/officeDocument/2006/relationships" name="Solo Konservativ auto" sheetId="5" state="visible" r:id="rId5"/>
    <sheet xmlns:r="http://schemas.openxmlformats.org/officeDocument/2006/relationships" name="Solo Basis" sheetId="6" state="visible" r:id="rId6"/>
    <sheet xmlns:r="http://schemas.openxmlformats.org/officeDocument/2006/relationships" name="Solo Basis auto" sheetId="7" state="visible" r:id="rId7"/>
    <sheet xmlns:r="http://schemas.openxmlformats.org/officeDocument/2006/relationships" name="Solo Optimistisch" sheetId="8" state="visible" r:id="rId8"/>
    <sheet xmlns:r="http://schemas.openxmlformats.org/officeDocument/2006/relationships" name="Solo Optimistisch auto" sheetId="9" state="visible" r:id="rId9"/>
    <sheet xmlns:r="http://schemas.openxmlformats.org/officeDocument/2006/relationships" name="Ausbau ab 10k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 €;(#,##0 €);-"/>
    <numFmt numFmtId="165" formatCode="#,##0.0;(#,##0.0);-"/>
    <numFmt numFmtId="166" formatCode="0.0%;(0.0%);-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</font>
    <font>
      <name val="Arial"/>
      <color rgb="000000FF"/>
    </font>
    <font>
      <name val="Arial"/>
      <b val="1"/>
      <color rgb="00FFFFFF"/>
    </font>
    <font>
      <name val="Arial"/>
    </font>
    <font>
      <name val="Arial"/>
      <b val="1"/>
    </font>
    <font>
      <name val="Arial"/>
      <color rgb="00008000"/>
    </font>
    <font>
      <name val="Arial"/>
      <color theme="1"/>
      <sz val="11"/>
    </font>
  </fonts>
  <fills count="5">
    <fill>
      <patternFill/>
    </fill>
    <fill>
      <patternFill patternType="gray125"/>
    </fill>
    <fill>
      <patternFill patternType="solid">
        <fgColor rgb="000F5C4A"/>
      </patternFill>
    </fill>
    <fill>
      <patternFill patternType="solid">
        <fgColor rgb="00FFFF00"/>
      </patternFill>
    </fill>
    <fill>
      <patternFill patternType="solid">
        <fgColor rgb="00EFE8DB"/>
      </patternFill>
    </fill>
  </fills>
  <borders count="2">
    <border>
      <left/>
      <right/>
      <top/>
      <bottom/>
      <diagonal/>
    </border>
    <border>
      <top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164" fontId="7" fillId="0" borderId="0" pivotButton="0" quotePrefix="0" xfId="0"/>
    <xf numFmtId="0" fontId="6" fillId="0" borderId="0" pivotButton="0" quotePrefix="0" xfId="0"/>
    <xf numFmtId="0" fontId="7" fillId="3" borderId="0" pivotButton="0" quotePrefix="0" xfId="0"/>
    <xf numFmtId="165" fontId="7" fillId="0" borderId="0" pivotButton="0" quotePrefix="0" xfId="0"/>
    <xf numFmtId="49" fontId="7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164" fontId="8" fillId="0" borderId="0" pivotButton="0" quotePrefix="0" xfId="0"/>
    <xf numFmtId="165" fontId="8" fillId="0" borderId="0" pivotButton="0" quotePrefix="0" xfId="0"/>
    <xf numFmtId="164" fontId="6" fillId="0" borderId="0" pivotButton="0" quotePrefix="0" xfId="0"/>
    <xf numFmtId="166" fontId="3" fillId="0" borderId="0" pivotButton="0" quotePrefix="0" xfId="0"/>
    <xf numFmtId="166" fontId="3" fillId="3" borderId="0" pivotButton="0" quotePrefix="0" xfId="0"/>
    <xf numFmtId="1" fontId="3" fillId="3" borderId="0" pivotButton="0" quotePrefix="0" xfId="0"/>
    <xf numFmtId="165" fontId="3" fillId="3" borderId="0" pivotButton="0" quotePrefix="0" xfId="0"/>
    <xf numFmtId="165" fontId="6" fillId="0" borderId="0" pivotButton="0" quotePrefix="0" xfId="0"/>
    <xf numFmtId="165" fontId="5" fillId="0" borderId="0" pivotButton="0" quotePrefix="0" xfId="0"/>
    <xf numFmtId="1" fontId="5" fillId="0" borderId="0" pivotButton="0" quotePrefix="0" xfId="0"/>
    <xf numFmtId="0" fontId="8" fillId="4" borderId="0" pivotButton="0" quotePrefix="0" xfId="0"/>
    <xf numFmtId="164" fontId="6" fillId="0" borderId="1" pivotButton="0" quotePrefix="0" xfId="0"/>
    <xf numFmtId="164" fontId="5" fillId="0" borderId="0" pivotButton="0" quotePrefix="0" xfId="0"/>
    <xf numFmtId="164" fontId="3" fillId="3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MRR Basis: von Hand vs. automatisiert ab Kunde 5</a:t>
            </a:r>
          </a:p>
        </rich>
      </tx>
    </title>
    <plotArea>
      <lineChart>
        <grouping val="standard"/>
        <ser>
          <idx val="0"/>
          <order val="0"/>
          <tx>
            <strRef>
              <f>'Übersicht'!D22</f>
            </strRef>
          </tx>
          <spPr>
            <a:ln xmlns:a="http://schemas.openxmlformats.org/drawingml/2006/main" w="28000">
              <a:solidFill>
                <a:srgbClr val="C26A2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'Übersicht'!$A$23:$A$46</f>
            </numRef>
          </cat>
          <val>
            <numRef>
              <f>'Übersicht'!$D$23:$D$46</f>
            </numRef>
          </val>
          <smooth val="0"/>
        </ser>
        <ser>
          <idx val="1"/>
          <order val="1"/>
          <tx>
            <strRef>
              <f>'Übersicht'!E22</f>
            </strRef>
          </tx>
          <spPr>
            <a:ln xmlns:a="http://schemas.openxmlformats.org/drawingml/2006/main" w="28000">
              <a:solidFill>
                <a:srgbClr val="1A8A6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'Übersicht'!$A$23:$A$46</f>
            </numRef>
          </cat>
          <val>
            <numRef>
              <f>'Übersicht'!$E$23:$E$46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€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3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46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Übersicht – Solo-Plan bis 10.000 € MRR, danach Ausbau mit Team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Ergebnis vor Steuern. Im Solo-Plan ist das Ergebnis das Einkommen des Gründers (davon 35–40 % für Steuern/Sozialversicherung zurücklegen).</t>
        </is>
      </c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4" t="inlineStr">
        <is>
          <t>Solo-Plan</t>
        </is>
      </c>
      <c r="B4" s="4" t="inlineStr">
        <is>
          <t>Konservativ · Hand</t>
        </is>
      </c>
      <c r="C4" s="4" t="inlineStr">
        <is>
          <t>Konservativ · auto</t>
        </is>
      </c>
      <c r="D4" s="4" t="inlineStr">
        <is>
          <t>Basis · Hand</t>
        </is>
      </c>
      <c r="E4" s="4" t="inlineStr">
        <is>
          <t>Basis · auto</t>
        </is>
      </c>
      <c r="F4" s="4" t="inlineStr">
        <is>
          <t>Optimistisch · Hand</t>
        </is>
      </c>
      <c r="G4" s="4" t="inlineStr">
        <is>
          <t>Optimistisch · auto</t>
        </is>
      </c>
    </row>
    <row r="5">
      <c r="A5" s="5" t="inlineStr">
        <is>
          <t>MRR Monat 6 (Apr 27)</t>
        </is>
      </c>
      <c r="B5" s="6">
        <f>'Solo Konservativ'!G19</f>
        <v/>
      </c>
      <c r="C5" s="6">
        <f>'Solo Konservativ auto'!G19</f>
        <v/>
      </c>
      <c r="D5" s="6">
        <f>'Solo Basis'!G19</f>
        <v/>
      </c>
      <c r="E5" s="6">
        <f>'Solo Basis auto'!G19</f>
        <v/>
      </c>
      <c r="F5" s="6">
        <f>'Solo Optimistisch'!G19</f>
        <v/>
      </c>
      <c r="G5" s="6">
        <f>'Solo Optimistisch auto'!G19</f>
        <v/>
      </c>
    </row>
    <row r="6">
      <c r="A6" s="5" t="inlineStr">
        <is>
          <t>MRR Monat 12 (Okt 27)</t>
        </is>
      </c>
      <c r="B6" s="6">
        <f>'Solo Konservativ'!M19</f>
        <v/>
      </c>
      <c r="C6" s="6">
        <f>'Solo Konservativ auto'!M19</f>
        <v/>
      </c>
      <c r="D6" s="6">
        <f>'Solo Basis'!M19</f>
        <v/>
      </c>
      <c r="E6" s="6">
        <f>'Solo Basis auto'!M19</f>
        <v/>
      </c>
      <c r="F6" s="6">
        <f>'Solo Optimistisch'!M19</f>
        <v/>
      </c>
      <c r="G6" s="6">
        <f>'Solo Optimistisch auto'!M19</f>
        <v/>
      </c>
    </row>
    <row r="7">
      <c r="A7" s="5" t="inlineStr">
        <is>
          <t>MRR Monat 24 (Okt 28)</t>
        </is>
      </c>
      <c r="B7" s="6">
        <f>'Solo Konservativ'!Y19</f>
        <v/>
      </c>
      <c r="C7" s="6">
        <f>'Solo Konservativ auto'!Y19</f>
        <v/>
      </c>
      <c r="D7" s="6">
        <f>'Solo Basis'!Y19</f>
        <v/>
      </c>
      <c r="E7" s="6">
        <f>'Solo Basis auto'!Y19</f>
        <v/>
      </c>
      <c r="F7" s="6">
        <f>'Solo Optimistisch'!Y19</f>
        <v/>
      </c>
      <c r="G7" s="6">
        <f>'Solo Optimistisch auto'!Y19</f>
        <v/>
      </c>
    </row>
    <row r="8">
      <c r="A8" s="7" t="inlineStr">
        <is>
          <t>Monat, in dem 10.000 € MRR erreicht werden</t>
        </is>
      </c>
      <c r="B8" s="8">
        <f>IF(MAX('Solo Konservativ'!B19:Y19)&gt;=10000,COUNTIF('Solo Konservativ'!B19:Y19,"&lt;10000")+1,"nicht in 24 Monaten")</f>
        <v/>
      </c>
      <c r="C8" s="8">
        <f>IF(MAX('Solo Konservativ auto'!B19:Y19)&gt;=10000,COUNTIF('Solo Konservativ auto'!B19:Y19,"&lt;10000")+1,"nicht in 24 Monaten")</f>
        <v/>
      </c>
      <c r="D8" s="8">
        <f>IF(MAX('Solo Basis'!B19:Y19)&gt;=10000,COUNTIF('Solo Basis'!B19:Y19,"&lt;10000")+1,"nicht in 24 Monaten")</f>
        <v/>
      </c>
      <c r="E8" s="8">
        <f>IF(MAX('Solo Basis auto'!B19:Y19)&gt;=10000,COUNTIF('Solo Basis auto'!B19:Y19,"&lt;10000")+1,"nicht in 24 Monaten")</f>
        <v/>
      </c>
      <c r="F8" s="8">
        <f>IF(MAX('Solo Optimistisch'!B19:Y19)&gt;=10000,COUNTIF('Solo Optimistisch'!B19:Y19,"&lt;10000")+1,"nicht in 24 Monaten")</f>
        <v/>
      </c>
      <c r="G8" s="8">
        <f>IF(MAX('Solo Optimistisch auto'!B19:Y19)&gt;=10000,COUNTIF('Solo Optimistisch auto'!B19:Y19,"&lt;10000")+1,"nicht in 24 Monaten")</f>
        <v/>
      </c>
    </row>
    <row r="9">
      <c r="A9" s="5" t="inlineStr">
        <is>
          <t>Einkommen erste 12 Monate (vor Steuern)</t>
        </is>
      </c>
      <c r="B9" s="6">
        <f>SUM('Solo Konservativ'!B23:M23)</f>
        <v/>
      </c>
      <c r="C9" s="6">
        <f>SUM('Solo Konservativ auto'!B23:M23)</f>
        <v/>
      </c>
      <c r="D9" s="6">
        <f>SUM('Solo Basis'!B23:M23)</f>
        <v/>
      </c>
      <c r="E9" s="6">
        <f>SUM('Solo Basis auto'!B23:M23)</f>
        <v/>
      </c>
      <c r="F9" s="6">
        <f>SUM('Solo Optimistisch'!B23:M23)</f>
        <v/>
      </c>
      <c r="G9" s="6">
        <f>SUM('Solo Optimistisch auto'!B23:M23)</f>
        <v/>
      </c>
    </row>
    <row r="10">
      <c r="A10" s="5" t="inlineStr">
        <is>
          <t>Abschlüsse erste 12 Monate</t>
        </is>
      </c>
      <c r="B10" s="9">
        <f>SUM('Solo Konservativ'!B11:M11)</f>
        <v/>
      </c>
      <c r="C10" s="9">
        <f>SUM('Solo Konservativ auto'!B11:M11)</f>
        <v/>
      </c>
      <c r="D10" s="9">
        <f>SUM('Solo Basis'!B11:M11)</f>
        <v/>
      </c>
      <c r="E10" s="9">
        <f>SUM('Solo Basis auto'!B11:M11)</f>
        <v/>
      </c>
      <c r="F10" s="9">
        <f>SUM('Solo Optimistisch'!B11:M11)</f>
        <v/>
      </c>
      <c r="G10" s="9">
        <f>SUM('Solo Optimistisch auto'!B11:M11)</f>
        <v/>
      </c>
    </row>
    <row r="11">
      <c r="A11" s="5" t="inlineStr">
        <is>
          <t>Belegte Stunden Monat 12</t>
        </is>
      </c>
      <c r="B11" s="9">
        <f>'Solo Konservativ'!M25</f>
        <v/>
      </c>
      <c r="C11" s="9">
        <f>'Solo Konservativ auto'!M25</f>
        <v/>
      </c>
      <c r="D11" s="9">
        <f>'Solo Basis'!M25</f>
        <v/>
      </c>
      <c r="E11" s="9">
        <f>'Solo Basis auto'!M25</f>
        <v/>
      </c>
      <c r="F11" s="9">
        <f>'Solo Optimistisch'!M25</f>
        <v/>
      </c>
      <c r="G11" s="9">
        <f>'Solo Optimistisch auto'!M25</f>
        <v/>
      </c>
    </row>
    <row r="12">
      <c r="A12" s="2" t="n"/>
      <c r="B12" s="2" t="n"/>
      <c r="C12" s="2" t="n"/>
      <c r="D12" s="2" t="n"/>
      <c r="E12" s="2" t="n"/>
      <c r="F12" s="2" t="n"/>
      <c r="G12" s="2" t="n"/>
    </row>
    <row r="13">
      <c r="A13" s="4" t="inlineStr">
        <is>
          <t>Ausbau ab 10.000 € MRR (Team)</t>
        </is>
      </c>
      <c r="B13" s="4" t="inlineStr">
        <is>
          <t>Wert</t>
        </is>
      </c>
      <c r="C13" s="2" t="n"/>
      <c r="D13" s="2" t="n"/>
      <c r="E13" s="2" t="n"/>
      <c r="F13" s="2" t="n"/>
      <c r="G13" s="2" t="n"/>
    </row>
    <row r="14">
      <c r="A14" s="5" t="inlineStr">
        <is>
          <t>Team-Start</t>
        </is>
      </c>
      <c r="B14" s="10">
        <f>"Jun 27"</f>
        <v/>
      </c>
      <c r="C14" s="2" t="n"/>
      <c r="D14" s="2" t="n"/>
      <c r="E14" s="2" t="n"/>
      <c r="F14" s="2" t="n"/>
      <c r="G14" s="2" t="n"/>
    </row>
    <row r="15">
      <c r="A15" s="5" t="inlineStr">
        <is>
          <t>Umsatz erste 12 Team-Monate</t>
        </is>
      </c>
      <c r="B15" s="6">
        <f>'Ausbau ab 10k'!Q25</f>
        <v/>
      </c>
      <c r="C15" s="2" t="n"/>
      <c r="D15" s="2" t="n"/>
      <c r="E15" s="2" t="n"/>
      <c r="F15" s="2" t="n"/>
      <c r="G15" s="2" t="n"/>
    </row>
    <row r="16">
      <c r="A16" s="5" t="inlineStr">
        <is>
          <t>Ergebnis erste 12 Team-Monate</t>
        </is>
      </c>
      <c r="B16" s="6">
        <f>'Ausbau ab 10k'!Q37</f>
        <v/>
      </c>
      <c r="C16" s="2" t="n"/>
      <c r="D16" s="2" t="n"/>
      <c r="E16" s="2" t="n"/>
      <c r="F16" s="2" t="n"/>
      <c r="G16" s="2" t="n"/>
    </row>
    <row r="17">
      <c r="A17" s="5" t="inlineStr">
        <is>
          <t>MRR nach 12 Team-Monaten</t>
        </is>
      </c>
      <c r="B17" s="6">
        <f>'Ausbau ab 10k'!P23</f>
        <v/>
      </c>
      <c r="C17" s="2" t="n"/>
      <c r="D17" s="2" t="n"/>
      <c r="E17" s="2" t="n"/>
      <c r="F17" s="2" t="n"/>
      <c r="G17" s="2" t="n"/>
    </row>
    <row r="18">
      <c r="A18" s="5" t="inlineStr">
        <is>
          <t>Tiefster Kassenstand im Ausbau</t>
        </is>
      </c>
      <c r="B18" s="6">
        <f>MIN(0,MIN('Ausbau ab 10k'!E38:P38))</f>
        <v/>
      </c>
      <c r="C18" s="2" t="n"/>
      <c r="D18" s="2" t="n"/>
      <c r="E18" s="2" t="n"/>
      <c r="F18" s="2" t="n"/>
      <c r="G18" s="2" t="n"/>
    </row>
    <row r="19">
      <c r="A19" s="5" t="inlineStr">
        <is>
          <t>Jahresumsatz-Tempo im 12. Team-Monat</t>
        </is>
      </c>
      <c r="B19" s="6">
        <f>'Ausbau ab 10k'!P26</f>
        <v/>
      </c>
      <c r="C19" s="2" t="n"/>
      <c r="D19" s="2" t="n"/>
      <c r="E19" s="2" t="n"/>
      <c r="F19" s="2" t="n"/>
      <c r="G19" s="2" t="n"/>
    </row>
    <row r="20">
      <c r="A20" s="2" t="n"/>
      <c r="B20" s="2" t="n"/>
      <c r="C20" s="2" t="n"/>
      <c r="D20" s="2" t="n"/>
      <c r="E20" s="2" t="n"/>
      <c r="F20" s="2" t="n"/>
      <c r="G20" s="2" t="n"/>
    </row>
    <row r="21">
      <c r="A21" s="2" t="n"/>
      <c r="B21" s="2" t="n"/>
      <c r="C21" s="2" t="n"/>
      <c r="D21" s="2" t="n"/>
      <c r="E21" s="2" t="n"/>
      <c r="F21" s="2" t="n"/>
      <c r="G21" s="2" t="n"/>
    </row>
    <row r="22">
      <c r="A22" s="7" t="inlineStr">
        <is>
          <t>MRR je Monat (Solo)</t>
        </is>
      </c>
      <c r="B22" s="7" t="inlineStr">
        <is>
          <t>Konservativ · Hand</t>
        </is>
      </c>
      <c r="C22" s="7" t="inlineStr">
        <is>
          <t>Konservativ · auto</t>
        </is>
      </c>
      <c r="D22" s="7" t="inlineStr">
        <is>
          <t>Basis · Hand</t>
        </is>
      </c>
      <c r="E22" s="7" t="inlineStr">
        <is>
          <t>Basis · auto</t>
        </is>
      </c>
      <c r="F22" s="7" t="inlineStr">
        <is>
          <t>Optimistisch · Hand</t>
        </is>
      </c>
      <c r="G22" s="7" t="inlineStr">
        <is>
          <t>Optimistisch · auto</t>
        </is>
      </c>
    </row>
    <row r="23">
      <c r="A23" s="5" t="inlineStr">
        <is>
          <t>Nov 26</t>
        </is>
      </c>
      <c r="B23" s="6">
        <f>'Solo Konservativ'!B19</f>
        <v/>
      </c>
      <c r="C23" s="6">
        <f>'Solo Konservativ auto'!B19</f>
        <v/>
      </c>
      <c r="D23" s="6">
        <f>'Solo Basis'!B19</f>
        <v/>
      </c>
      <c r="E23" s="6">
        <f>'Solo Basis auto'!B19</f>
        <v/>
      </c>
      <c r="F23" s="6">
        <f>'Solo Optimistisch'!B19</f>
        <v/>
      </c>
      <c r="G23" s="6">
        <f>'Solo Optimistisch auto'!B19</f>
        <v/>
      </c>
    </row>
    <row r="24">
      <c r="A24" s="5" t="inlineStr">
        <is>
          <t>Dez 26</t>
        </is>
      </c>
      <c r="B24" s="6">
        <f>'Solo Konservativ'!C19</f>
        <v/>
      </c>
      <c r="C24" s="6">
        <f>'Solo Konservativ auto'!C19</f>
        <v/>
      </c>
      <c r="D24" s="6">
        <f>'Solo Basis'!C19</f>
        <v/>
      </c>
      <c r="E24" s="6">
        <f>'Solo Basis auto'!C19</f>
        <v/>
      </c>
      <c r="F24" s="6">
        <f>'Solo Optimistisch'!C19</f>
        <v/>
      </c>
      <c r="G24" s="6">
        <f>'Solo Optimistisch auto'!C19</f>
        <v/>
      </c>
    </row>
    <row r="25">
      <c r="A25" s="5" t="inlineStr">
        <is>
          <t>Jan 27</t>
        </is>
      </c>
      <c r="B25" s="6">
        <f>'Solo Konservativ'!D19</f>
        <v/>
      </c>
      <c r="C25" s="6">
        <f>'Solo Konservativ auto'!D19</f>
        <v/>
      </c>
      <c r="D25" s="6">
        <f>'Solo Basis'!D19</f>
        <v/>
      </c>
      <c r="E25" s="6">
        <f>'Solo Basis auto'!D19</f>
        <v/>
      </c>
      <c r="F25" s="6">
        <f>'Solo Optimistisch'!D19</f>
        <v/>
      </c>
      <c r="G25" s="6">
        <f>'Solo Optimistisch auto'!D19</f>
        <v/>
      </c>
    </row>
    <row r="26">
      <c r="A26" s="5" t="inlineStr">
        <is>
          <t>Feb 27</t>
        </is>
      </c>
      <c r="B26" s="6">
        <f>'Solo Konservativ'!E19</f>
        <v/>
      </c>
      <c r="C26" s="6">
        <f>'Solo Konservativ auto'!E19</f>
        <v/>
      </c>
      <c r="D26" s="6">
        <f>'Solo Basis'!E19</f>
        <v/>
      </c>
      <c r="E26" s="6">
        <f>'Solo Basis auto'!E19</f>
        <v/>
      </c>
      <c r="F26" s="6">
        <f>'Solo Optimistisch'!E19</f>
        <v/>
      </c>
      <c r="G26" s="6">
        <f>'Solo Optimistisch auto'!E19</f>
        <v/>
      </c>
    </row>
    <row r="27">
      <c r="A27" s="5" t="inlineStr">
        <is>
          <t>Mär 27</t>
        </is>
      </c>
      <c r="B27" s="6">
        <f>'Solo Konservativ'!F19</f>
        <v/>
      </c>
      <c r="C27" s="6">
        <f>'Solo Konservativ auto'!F19</f>
        <v/>
      </c>
      <c r="D27" s="6">
        <f>'Solo Basis'!F19</f>
        <v/>
      </c>
      <c r="E27" s="6">
        <f>'Solo Basis auto'!F19</f>
        <v/>
      </c>
      <c r="F27" s="6">
        <f>'Solo Optimistisch'!F19</f>
        <v/>
      </c>
      <c r="G27" s="6">
        <f>'Solo Optimistisch auto'!F19</f>
        <v/>
      </c>
    </row>
    <row r="28">
      <c r="A28" s="5" t="inlineStr">
        <is>
          <t>Apr 27</t>
        </is>
      </c>
      <c r="B28" s="6">
        <f>'Solo Konservativ'!G19</f>
        <v/>
      </c>
      <c r="C28" s="6">
        <f>'Solo Konservativ auto'!G19</f>
        <v/>
      </c>
      <c r="D28" s="6">
        <f>'Solo Basis'!G19</f>
        <v/>
      </c>
      <c r="E28" s="6">
        <f>'Solo Basis auto'!G19</f>
        <v/>
      </c>
      <c r="F28" s="6">
        <f>'Solo Optimistisch'!G19</f>
        <v/>
      </c>
      <c r="G28" s="6">
        <f>'Solo Optimistisch auto'!G19</f>
        <v/>
      </c>
    </row>
    <row r="29">
      <c r="A29" s="5" t="inlineStr">
        <is>
          <t>Mai 27</t>
        </is>
      </c>
      <c r="B29" s="6">
        <f>'Solo Konservativ'!H19</f>
        <v/>
      </c>
      <c r="C29" s="6">
        <f>'Solo Konservativ auto'!H19</f>
        <v/>
      </c>
      <c r="D29" s="6">
        <f>'Solo Basis'!H19</f>
        <v/>
      </c>
      <c r="E29" s="6">
        <f>'Solo Basis auto'!H19</f>
        <v/>
      </c>
      <c r="F29" s="6">
        <f>'Solo Optimistisch'!H19</f>
        <v/>
      </c>
      <c r="G29" s="6">
        <f>'Solo Optimistisch auto'!H19</f>
        <v/>
      </c>
    </row>
    <row r="30">
      <c r="A30" s="5" t="inlineStr">
        <is>
          <t>Jun 27</t>
        </is>
      </c>
      <c r="B30" s="6">
        <f>'Solo Konservativ'!I19</f>
        <v/>
      </c>
      <c r="C30" s="6">
        <f>'Solo Konservativ auto'!I19</f>
        <v/>
      </c>
      <c r="D30" s="6">
        <f>'Solo Basis'!I19</f>
        <v/>
      </c>
      <c r="E30" s="6">
        <f>'Solo Basis auto'!I19</f>
        <v/>
      </c>
      <c r="F30" s="6">
        <f>'Solo Optimistisch'!I19</f>
        <v/>
      </c>
      <c r="G30" s="6">
        <f>'Solo Optimistisch auto'!I19</f>
        <v/>
      </c>
    </row>
    <row r="31">
      <c r="A31" s="5" t="inlineStr">
        <is>
          <t>Jul 27</t>
        </is>
      </c>
      <c r="B31" s="6">
        <f>'Solo Konservativ'!J19</f>
        <v/>
      </c>
      <c r="C31" s="6">
        <f>'Solo Konservativ auto'!J19</f>
        <v/>
      </c>
      <c r="D31" s="6">
        <f>'Solo Basis'!J19</f>
        <v/>
      </c>
      <c r="E31" s="6">
        <f>'Solo Basis auto'!J19</f>
        <v/>
      </c>
      <c r="F31" s="6">
        <f>'Solo Optimistisch'!J19</f>
        <v/>
      </c>
      <c r="G31" s="6">
        <f>'Solo Optimistisch auto'!J19</f>
        <v/>
      </c>
    </row>
    <row r="32">
      <c r="A32" s="5" t="inlineStr">
        <is>
          <t>Aug 27</t>
        </is>
      </c>
      <c r="B32" s="6">
        <f>'Solo Konservativ'!K19</f>
        <v/>
      </c>
      <c r="C32" s="6">
        <f>'Solo Konservativ auto'!K19</f>
        <v/>
      </c>
      <c r="D32" s="6">
        <f>'Solo Basis'!K19</f>
        <v/>
      </c>
      <c r="E32" s="6">
        <f>'Solo Basis auto'!K19</f>
        <v/>
      </c>
      <c r="F32" s="6">
        <f>'Solo Optimistisch'!K19</f>
        <v/>
      </c>
      <c r="G32" s="6">
        <f>'Solo Optimistisch auto'!K19</f>
        <v/>
      </c>
    </row>
    <row r="33">
      <c r="A33" s="5" t="inlineStr">
        <is>
          <t>Sep 27</t>
        </is>
      </c>
      <c r="B33" s="6">
        <f>'Solo Konservativ'!L19</f>
        <v/>
      </c>
      <c r="C33" s="6">
        <f>'Solo Konservativ auto'!L19</f>
        <v/>
      </c>
      <c r="D33" s="6">
        <f>'Solo Basis'!L19</f>
        <v/>
      </c>
      <c r="E33" s="6">
        <f>'Solo Basis auto'!L19</f>
        <v/>
      </c>
      <c r="F33" s="6">
        <f>'Solo Optimistisch'!L19</f>
        <v/>
      </c>
      <c r="G33" s="6">
        <f>'Solo Optimistisch auto'!L19</f>
        <v/>
      </c>
    </row>
    <row r="34">
      <c r="A34" s="5" t="inlineStr">
        <is>
          <t>Okt 27</t>
        </is>
      </c>
      <c r="B34" s="6">
        <f>'Solo Konservativ'!M19</f>
        <v/>
      </c>
      <c r="C34" s="6">
        <f>'Solo Konservativ auto'!M19</f>
        <v/>
      </c>
      <c r="D34" s="6">
        <f>'Solo Basis'!M19</f>
        <v/>
      </c>
      <c r="E34" s="6">
        <f>'Solo Basis auto'!M19</f>
        <v/>
      </c>
      <c r="F34" s="6">
        <f>'Solo Optimistisch'!M19</f>
        <v/>
      </c>
      <c r="G34" s="6">
        <f>'Solo Optimistisch auto'!M19</f>
        <v/>
      </c>
    </row>
    <row r="35">
      <c r="A35" s="5" t="inlineStr">
        <is>
          <t>Nov 27</t>
        </is>
      </c>
      <c r="B35" s="6">
        <f>'Solo Konservativ'!N19</f>
        <v/>
      </c>
      <c r="C35" s="6">
        <f>'Solo Konservativ auto'!N19</f>
        <v/>
      </c>
      <c r="D35" s="6">
        <f>'Solo Basis'!N19</f>
        <v/>
      </c>
      <c r="E35" s="6">
        <f>'Solo Basis auto'!N19</f>
        <v/>
      </c>
      <c r="F35" s="6">
        <f>'Solo Optimistisch'!N19</f>
        <v/>
      </c>
      <c r="G35" s="6">
        <f>'Solo Optimistisch auto'!N19</f>
        <v/>
      </c>
    </row>
    <row r="36">
      <c r="A36" s="5" t="inlineStr">
        <is>
          <t>Dez 27</t>
        </is>
      </c>
      <c r="B36" s="6">
        <f>'Solo Konservativ'!O19</f>
        <v/>
      </c>
      <c r="C36" s="6">
        <f>'Solo Konservativ auto'!O19</f>
        <v/>
      </c>
      <c r="D36" s="6">
        <f>'Solo Basis'!O19</f>
        <v/>
      </c>
      <c r="E36" s="6">
        <f>'Solo Basis auto'!O19</f>
        <v/>
      </c>
      <c r="F36" s="6">
        <f>'Solo Optimistisch'!O19</f>
        <v/>
      </c>
      <c r="G36" s="6">
        <f>'Solo Optimistisch auto'!O19</f>
        <v/>
      </c>
    </row>
    <row r="37">
      <c r="A37" s="5" t="inlineStr">
        <is>
          <t>Jan 28</t>
        </is>
      </c>
      <c r="B37" s="6">
        <f>'Solo Konservativ'!P19</f>
        <v/>
      </c>
      <c r="C37" s="6">
        <f>'Solo Konservativ auto'!P19</f>
        <v/>
      </c>
      <c r="D37" s="6">
        <f>'Solo Basis'!P19</f>
        <v/>
      </c>
      <c r="E37" s="6">
        <f>'Solo Basis auto'!P19</f>
        <v/>
      </c>
      <c r="F37" s="6">
        <f>'Solo Optimistisch'!P19</f>
        <v/>
      </c>
      <c r="G37" s="6">
        <f>'Solo Optimistisch auto'!P19</f>
        <v/>
      </c>
    </row>
    <row r="38">
      <c r="A38" s="5" t="inlineStr">
        <is>
          <t>Feb 28</t>
        </is>
      </c>
      <c r="B38" s="6">
        <f>'Solo Konservativ'!Q19</f>
        <v/>
      </c>
      <c r="C38" s="6">
        <f>'Solo Konservativ auto'!Q19</f>
        <v/>
      </c>
      <c r="D38" s="6">
        <f>'Solo Basis'!Q19</f>
        <v/>
      </c>
      <c r="E38" s="6">
        <f>'Solo Basis auto'!Q19</f>
        <v/>
      </c>
      <c r="F38" s="6">
        <f>'Solo Optimistisch'!Q19</f>
        <v/>
      </c>
      <c r="G38" s="6">
        <f>'Solo Optimistisch auto'!Q19</f>
        <v/>
      </c>
    </row>
    <row r="39">
      <c r="A39" s="5" t="inlineStr">
        <is>
          <t>Mär 28</t>
        </is>
      </c>
      <c r="B39" s="6">
        <f>'Solo Konservativ'!R19</f>
        <v/>
      </c>
      <c r="C39" s="6">
        <f>'Solo Konservativ auto'!R19</f>
        <v/>
      </c>
      <c r="D39" s="6">
        <f>'Solo Basis'!R19</f>
        <v/>
      </c>
      <c r="E39" s="6">
        <f>'Solo Basis auto'!R19</f>
        <v/>
      </c>
      <c r="F39" s="6">
        <f>'Solo Optimistisch'!R19</f>
        <v/>
      </c>
      <c r="G39" s="6">
        <f>'Solo Optimistisch auto'!R19</f>
        <v/>
      </c>
    </row>
    <row r="40">
      <c r="A40" s="5" t="inlineStr">
        <is>
          <t>Apr 28</t>
        </is>
      </c>
      <c r="B40" s="6">
        <f>'Solo Konservativ'!S19</f>
        <v/>
      </c>
      <c r="C40" s="6">
        <f>'Solo Konservativ auto'!S19</f>
        <v/>
      </c>
      <c r="D40" s="6">
        <f>'Solo Basis'!S19</f>
        <v/>
      </c>
      <c r="E40" s="6">
        <f>'Solo Basis auto'!S19</f>
        <v/>
      </c>
      <c r="F40" s="6">
        <f>'Solo Optimistisch'!S19</f>
        <v/>
      </c>
      <c r="G40" s="6">
        <f>'Solo Optimistisch auto'!S19</f>
        <v/>
      </c>
    </row>
    <row r="41">
      <c r="A41" s="5" t="inlineStr">
        <is>
          <t>Mai 28</t>
        </is>
      </c>
      <c r="B41" s="6">
        <f>'Solo Konservativ'!T19</f>
        <v/>
      </c>
      <c r="C41" s="6">
        <f>'Solo Konservativ auto'!T19</f>
        <v/>
      </c>
      <c r="D41" s="6">
        <f>'Solo Basis'!T19</f>
        <v/>
      </c>
      <c r="E41" s="6">
        <f>'Solo Basis auto'!T19</f>
        <v/>
      </c>
      <c r="F41" s="6">
        <f>'Solo Optimistisch'!T19</f>
        <v/>
      </c>
      <c r="G41" s="6">
        <f>'Solo Optimistisch auto'!T19</f>
        <v/>
      </c>
    </row>
    <row r="42">
      <c r="A42" s="5" t="inlineStr">
        <is>
          <t>Jun 28</t>
        </is>
      </c>
      <c r="B42" s="6">
        <f>'Solo Konservativ'!U19</f>
        <v/>
      </c>
      <c r="C42" s="6">
        <f>'Solo Konservativ auto'!U19</f>
        <v/>
      </c>
      <c r="D42" s="6">
        <f>'Solo Basis'!U19</f>
        <v/>
      </c>
      <c r="E42" s="6">
        <f>'Solo Basis auto'!U19</f>
        <v/>
      </c>
      <c r="F42" s="6">
        <f>'Solo Optimistisch'!U19</f>
        <v/>
      </c>
      <c r="G42" s="6">
        <f>'Solo Optimistisch auto'!U19</f>
        <v/>
      </c>
    </row>
    <row r="43">
      <c r="A43" s="5" t="inlineStr">
        <is>
          <t>Jul 28</t>
        </is>
      </c>
      <c r="B43" s="6">
        <f>'Solo Konservativ'!V19</f>
        <v/>
      </c>
      <c r="C43" s="6">
        <f>'Solo Konservativ auto'!V19</f>
        <v/>
      </c>
      <c r="D43" s="6">
        <f>'Solo Basis'!V19</f>
        <v/>
      </c>
      <c r="E43" s="6">
        <f>'Solo Basis auto'!V19</f>
        <v/>
      </c>
      <c r="F43" s="6">
        <f>'Solo Optimistisch'!V19</f>
        <v/>
      </c>
      <c r="G43" s="6">
        <f>'Solo Optimistisch auto'!V19</f>
        <v/>
      </c>
    </row>
    <row r="44">
      <c r="A44" s="5" t="inlineStr">
        <is>
          <t>Aug 28</t>
        </is>
      </c>
      <c r="B44" s="6">
        <f>'Solo Konservativ'!W19</f>
        <v/>
      </c>
      <c r="C44" s="6">
        <f>'Solo Konservativ auto'!W19</f>
        <v/>
      </c>
      <c r="D44" s="6">
        <f>'Solo Basis'!W19</f>
        <v/>
      </c>
      <c r="E44" s="6">
        <f>'Solo Basis auto'!W19</f>
        <v/>
      </c>
      <c r="F44" s="6">
        <f>'Solo Optimistisch'!W19</f>
        <v/>
      </c>
      <c r="G44" s="6">
        <f>'Solo Optimistisch auto'!W19</f>
        <v/>
      </c>
    </row>
    <row r="45">
      <c r="A45" s="5" t="inlineStr">
        <is>
          <t>Sep 28</t>
        </is>
      </c>
      <c r="B45" s="6">
        <f>'Solo Konservativ'!X19</f>
        <v/>
      </c>
      <c r="C45" s="6">
        <f>'Solo Konservativ auto'!X19</f>
        <v/>
      </c>
      <c r="D45" s="6">
        <f>'Solo Basis'!X19</f>
        <v/>
      </c>
      <c r="E45" s="6">
        <f>'Solo Basis auto'!X19</f>
        <v/>
      </c>
      <c r="F45" s="6">
        <f>'Solo Optimistisch'!X19</f>
        <v/>
      </c>
      <c r="G45" s="6">
        <f>'Solo Optimistisch auto'!X19</f>
        <v/>
      </c>
    </row>
    <row r="46">
      <c r="A46" s="5" t="inlineStr">
        <is>
          <t>Okt 28</t>
        </is>
      </c>
      <c r="B46" s="6">
        <f>'Solo Konservativ'!Y19</f>
        <v/>
      </c>
      <c r="C46" s="6">
        <f>'Solo Konservativ auto'!Y19</f>
        <v/>
      </c>
      <c r="D46" s="6">
        <f>'Solo Basis'!Y19</f>
        <v/>
      </c>
      <c r="E46" s="6">
        <f>'Solo Basis auto'!Y19</f>
        <v/>
      </c>
      <c r="F46" s="6">
        <f>'Solo Optimistisch'!Y19</f>
        <v/>
      </c>
      <c r="G46" s="6">
        <f>'Solo Optimistisch auto'!Y19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46" customWidth="1" min="9" max="9"/>
  </cols>
  <sheetData>
    <row r="1">
      <c r="A1" s="1" t="inlineStr">
        <is>
          <t>Preisübersicht und Verdienst je Abschluss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Blaue Werte sind Eingaben. Stunden = alles selbst gemacht, inkl. Vertrieb je Abschluss (Pflege wird mit der Website verkauft).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inlineStr">
        <is>
          <t>Vertriebsstunden je Abschluss</t>
        </is>
      </c>
      <c r="B3" s="11" t="n">
        <v>10</v>
      </c>
      <c r="C3" s="2" t="n"/>
      <c r="D3" s="2" t="n"/>
      <c r="E3" s="2" t="n"/>
      <c r="F3" s="2" t="n"/>
      <c r="G3" s="2" t="n"/>
      <c r="H3" s="2" t="n"/>
      <c r="I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4" t="inlineStr">
        <is>
          <t>Produkt</t>
        </is>
      </c>
      <c r="B5" s="4" t="inlineStr">
        <is>
          <t>Einmalig</t>
        </is>
      </c>
      <c r="C5" s="4" t="inlineStr">
        <is>
          <t>Monatlich</t>
        </is>
      </c>
      <c r="D5" s="4" t="inlineStr">
        <is>
          <t>Std. einmalig</t>
        </is>
      </c>
      <c r="E5" s="4" t="inlineStr">
        <is>
          <t>Std. je Monat</t>
        </is>
      </c>
      <c r="F5" s="4" t="inlineStr">
        <is>
          <t>Umsatz 1. Jahr</t>
        </is>
      </c>
      <c r="G5" s="4" t="inlineStr">
        <is>
          <t>Stunden 1. Jahr</t>
        </is>
      </c>
      <c r="H5" s="4" t="inlineStr">
        <is>
          <t>€ je Stunde</t>
        </is>
      </c>
      <c r="I5" s="4" t="inlineStr">
        <is>
          <t>Hinweis</t>
        </is>
      </c>
    </row>
    <row r="6">
      <c r="A6" s="5" t="inlineStr">
        <is>
          <t>Website Start</t>
        </is>
      </c>
      <c r="B6" s="12" t="n">
        <v>1490</v>
      </c>
      <c r="C6" s="12" t="n">
        <v>0</v>
      </c>
      <c r="D6" s="13" t="n">
        <v>16</v>
      </c>
      <c r="E6" s="13" t="n">
        <v>0</v>
      </c>
      <c r="F6" s="14">
        <f>B6+12*C6</f>
        <v/>
      </c>
      <c r="G6" s="15">
        <f>D6+12*E6+$B$3</f>
        <v/>
      </c>
      <c r="H6" s="16">
        <f>IF(G6&gt;0,F6/G6,0)</f>
        <v/>
      </c>
      <c r="I6" s="5" t="inlineStr">
        <is>
          <t>bis 5 Seiten, fertig in 2–3 Wochen</t>
        </is>
      </c>
    </row>
    <row r="7">
      <c r="A7" s="5" t="inlineStr">
        <is>
          <t>Website Wachstum</t>
        </is>
      </c>
      <c r="B7" s="12" t="n">
        <v>2990</v>
      </c>
      <c r="C7" s="12" t="n">
        <v>0</v>
      </c>
      <c r="D7" s="13" t="n">
        <v>28</v>
      </c>
      <c r="E7" s="13" t="n">
        <v>0</v>
      </c>
      <c r="F7" s="14">
        <f>B7+12*C7</f>
        <v/>
      </c>
      <c r="G7" s="15">
        <f>D7+12*E7+$B$3</f>
        <v/>
      </c>
      <c r="H7" s="16">
        <f>IF(G7&gt;0,F7/G7,0)</f>
        <v/>
      </c>
      <c r="I7" s="5" t="inlineStr">
        <is>
          <t>bis 15 Seiten, Orts- und Karriereseiten</t>
        </is>
      </c>
    </row>
    <row r="8">
      <c r="A8" s="5" t="inlineStr">
        <is>
          <t>Pflege &amp; Hosting Start</t>
        </is>
      </c>
      <c r="B8" s="12" t="n">
        <v>0</v>
      </c>
      <c r="C8" s="12" t="n">
        <v>59</v>
      </c>
      <c r="D8" s="13" t="n">
        <v>0</v>
      </c>
      <c r="E8" s="13" t="n">
        <v>0.25</v>
      </c>
      <c r="F8" s="14">
        <f>B8+12*C8</f>
        <v/>
      </c>
      <c r="G8" s="15">
        <f>D8+12*E8+0</f>
        <v/>
      </c>
      <c r="H8" s="16">
        <f>IF(G8&gt;0,F8/G8,0)</f>
        <v/>
      </c>
      <c r="I8" s="5" t="inlineStr">
        <is>
          <t>12 Monate Laufzeit</t>
        </is>
      </c>
    </row>
    <row r="9">
      <c r="A9" s="5" t="inlineStr">
        <is>
          <t>Pflege &amp; Hosting Wachstum</t>
        </is>
      </c>
      <c r="B9" s="12" t="n">
        <v>0</v>
      </c>
      <c r="C9" s="12" t="n">
        <v>99</v>
      </c>
      <c r="D9" s="13" t="n">
        <v>0</v>
      </c>
      <c r="E9" s="13" t="n">
        <v>0.5</v>
      </c>
      <c r="F9" s="14">
        <f>B9+12*C9</f>
        <v/>
      </c>
      <c r="G9" s="15">
        <f>D9+12*E9+0</f>
        <v/>
      </c>
      <c r="H9" s="16">
        <f>IF(G9&gt;0,F9/G9,0)</f>
        <v/>
      </c>
      <c r="I9" s="5" t="inlineStr">
        <is>
          <t>12 Monate Laufzeit, inkl. 1 h Änderungen</t>
        </is>
      </c>
    </row>
    <row r="10">
      <c r="A10" s="5" t="inlineStr">
        <is>
          <t>SEO Lokal</t>
        </is>
      </c>
      <c r="B10" s="12" t="n">
        <v>0</v>
      </c>
      <c r="C10" s="12" t="n">
        <v>490</v>
      </c>
      <c r="D10" s="13" t="n">
        <v>4</v>
      </c>
      <c r="E10" s="13" t="n">
        <v>5</v>
      </c>
      <c r="F10" s="14">
        <f>B10+12*C10</f>
        <v/>
      </c>
      <c r="G10" s="15">
        <f>D10+12*E10+$B$3</f>
        <v/>
      </c>
      <c r="H10" s="16">
        <f>IF(G10&gt;0,F10/G10,0)</f>
        <v/>
      </c>
      <c r="I10" s="5" t="inlineStr">
        <is>
          <t>6 Monate Mindestlaufzeit</t>
        </is>
      </c>
    </row>
    <row r="11">
      <c r="A11" s="5" t="inlineStr">
        <is>
          <t>SEO Plus</t>
        </is>
      </c>
      <c r="B11" s="12" t="n">
        <v>0</v>
      </c>
      <c r="C11" s="12" t="n">
        <v>890</v>
      </c>
      <c r="D11" s="13" t="n">
        <v>6</v>
      </c>
      <c r="E11" s="13" t="n">
        <v>8</v>
      </c>
      <c r="F11" s="14">
        <f>B11+12*C11</f>
        <v/>
      </c>
      <c r="G11" s="15">
        <f>D11+12*E11+$B$3</f>
        <v/>
      </c>
      <c r="H11" s="16">
        <f>IF(G11&gt;0,F11/G11,0)</f>
        <v/>
      </c>
      <c r="I11" s="5" t="inlineStr">
        <is>
          <t>6 Monate Mindestlaufzeit</t>
        </is>
      </c>
    </row>
    <row r="12">
      <c r="A12" s="5" t="inlineStr">
        <is>
          <t>Google-Ads-Betreuung</t>
        </is>
      </c>
      <c r="B12" s="12" t="n">
        <v>490</v>
      </c>
      <c r="C12" s="12" t="n">
        <v>290</v>
      </c>
      <c r="D12" s="13" t="n">
        <v>4</v>
      </c>
      <c r="E12" s="13" t="n">
        <v>2.5</v>
      </c>
      <c r="F12" s="14">
        <f>B12+12*C12</f>
        <v/>
      </c>
      <c r="G12" s="15">
        <f>D12+12*E12+$B$3</f>
        <v/>
      </c>
      <c r="H12" s="16">
        <f>IF(G12&gt;0,F12/G12,0)</f>
        <v/>
      </c>
      <c r="I12" s="5" t="inlineStr">
        <is>
          <t>zzgl. Werbebudget, monatlich kündbar</t>
        </is>
      </c>
    </row>
    <row r="13">
      <c r="A13" s="5" t="inlineStr">
        <is>
          <t>Recruiting-Paket</t>
        </is>
      </c>
      <c r="B13" s="12" t="n">
        <v>1490</v>
      </c>
      <c r="C13" s="12" t="n">
        <v>790</v>
      </c>
      <c r="D13" s="13" t="n">
        <v>10</v>
      </c>
      <c r="E13" s="13" t="n">
        <v>7</v>
      </c>
      <c r="F13" s="14">
        <f>B13+12*C13</f>
        <v/>
      </c>
      <c r="G13" s="15">
        <f>D13+12*E13+$B$3</f>
        <v/>
      </c>
      <c r="H13" s="16">
        <f>IF(G13&gt;0,F13/G13,0)</f>
        <v/>
      </c>
      <c r="I13" s="5" t="inlineStr">
        <is>
          <t>zzgl. Werbebudget, 3 Monate Mindestlaufzeit</t>
        </is>
      </c>
    </row>
    <row r="14">
      <c r="A14" s="5" t="inlineStr">
        <is>
          <t>Wachstumsprogramm</t>
        </is>
      </c>
      <c r="B14" s="12" t="n">
        <v>1490</v>
      </c>
      <c r="C14" s="12" t="n">
        <v>1190</v>
      </c>
      <c r="D14" s="13" t="n">
        <v>28</v>
      </c>
      <c r="E14" s="13" t="n">
        <v>13</v>
      </c>
      <c r="F14" s="14">
        <f>B14+12*C14</f>
        <v/>
      </c>
      <c r="G14" s="15">
        <f>D14+12*E14+$B$3</f>
        <v/>
      </c>
      <c r="H14" s="16">
        <f>IF(G14&gt;0,F14/G14,0)</f>
        <v/>
      </c>
      <c r="I14" s="5" t="inlineStr">
        <is>
          <t>12 Monate, Website + SEO Plus + Ads inklusive</t>
        </is>
      </c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</row>
    <row r="16">
      <c r="A16" s="3" t="inlineStr">
        <is>
          <t>Faustregel netto: Vom Gewinn 35–40 % für Einkommensteuer und Sozialversicherung zurücklegen (Steuerberater fragen).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Annahmen Solo-Plan (Gründer macht Vertrieb und Umsetzung allein)</t>
        </is>
      </c>
      <c r="B1" s="2" t="n"/>
      <c r="C1" s="2" t="n"/>
      <c r="D1" s="2" t="n"/>
    </row>
    <row r="2">
      <c r="A2" s="3" t="inlineStr">
        <is>
          <t>Blaue Zahlen sind Eingaben. Gelb = wichtigste Hebel. Monat 1 = November 2026.</t>
        </is>
      </c>
      <c r="B2" s="2" t="n"/>
      <c r="C2" s="2" t="n"/>
      <c r="D2" s="2" t="n"/>
    </row>
    <row r="3">
      <c r="A3" s="2" t="n"/>
      <c r="B3" s="2" t="n"/>
      <c r="C3" s="2" t="n"/>
      <c r="D3" s="2" t="n"/>
    </row>
    <row r="4">
      <c r="A4" s="4" t="inlineStr">
        <is>
          <t>Annahme</t>
        </is>
      </c>
      <c r="B4" s="4" t="inlineStr">
        <is>
          <t>Wert</t>
        </is>
      </c>
      <c r="C4" s="2" t="n"/>
      <c r="D4" s="2" t="n"/>
    </row>
    <row r="5">
      <c r="A5" s="5" t="inlineStr">
        <is>
          <t>Ø Website-Auftrag (einmalig)</t>
        </is>
      </c>
      <c r="B5" s="12" t="n">
        <v>2200</v>
      </c>
      <c r="C5" s="2" t="n"/>
      <c r="D5" s="2" t="n"/>
    </row>
    <row r="6">
      <c r="A6" s="5" t="inlineStr">
        <is>
          <t>Ø Pflege &amp; Hosting / Monat</t>
        </is>
      </c>
      <c r="B6" s="12" t="n">
        <v>79</v>
      </c>
      <c r="C6" s="2" t="n"/>
      <c r="D6" s="2" t="n"/>
    </row>
    <row r="7">
      <c r="A7" s="5" t="inlineStr">
        <is>
          <t>Wachstumsprogramm / Monat</t>
        </is>
      </c>
      <c r="B7" s="12" t="n">
        <v>1190</v>
      </c>
      <c r="C7" s="2" t="n"/>
      <c r="D7" s="2" t="n"/>
    </row>
    <row r="8">
      <c r="A8" s="5" t="inlineStr">
        <is>
          <t>Programm-Einrichtung (inkl. Website)</t>
        </is>
      </c>
      <c r="B8" s="12" t="n">
        <v>1490</v>
      </c>
      <c r="C8" s="2" t="n"/>
      <c r="D8" s="2" t="n"/>
    </row>
    <row r="9">
      <c r="A9" s="5" t="inlineStr">
        <is>
          <t>Ø SEO / Monat</t>
        </is>
      </c>
      <c r="B9" s="12" t="n">
        <v>650</v>
      </c>
      <c r="C9" s="2" t="n"/>
      <c r="D9" s="2" t="n"/>
    </row>
    <row r="10">
      <c r="A10" s="5" t="inlineStr">
        <is>
          <t>Recruiting-Paket / Monat</t>
        </is>
      </c>
      <c r="B10" s="12" t="n">
        <v>790</v>
      </c>
      <c r="C10" s="2" t="n"/>
      <c r="D10" s="2" t="n"/>
    </row>
    <row r="11">
      <c r="A11" s="5" t="inlineStr">
        <is>
          <t>Recruiting-Einrichtung</t>
        </is>
      </c>
      <c r="B11" s="12" t="n">
        <v>1490</v>
      </c>
      <c r="C11" s="2" t="n"/>
      <c r="D11" s="2" t="n"/>
    </row>
    <row r="12">
      <c r="A12" s="5" t="inlineStr">
        <is>
          <t>Anteil Abschlüsse: Website (+ Pflege)</t>
        </is>
      </c>
      <c r="B12" s="17" t="n">
        <v>0.25</v>
      </c>
      <c r="C12" s="2" t="n"/>
      <c r="D12" s="2" t="n"/>
    </row>
    <row r="13">
      <c r="A13" s="5" t="inlineStr">
        <is>
          <t>Anteil Abschlüsse: Wachstumsprogramm</t>
        </is>
      </c>
      <c r="B13" s="17" t="n">
        <v>0.25</v>
      </c>
      <c r="C13" s="2" t="n"/>
      <c r="D13" s="2" t="n"/>
    </row>
    <row r="14">
      <c r="A14" s="5" t="inlineStr">
        <is>
          <t>Anteil Abschlüsse: SEO</t>
        </is>
      </c>
      <c r="B14" s="17" t="n">
        <v>0.25</v>
      </c>
      <c r="C14" s="2" t="n"/>
      <c r="D14" s="2" t="n"/>
    </row>
    <row r="15">
      <c r="A15" s="5" t="inlineStr">
        <is>
          <t>Anteil Abschlüsse: Recruiting</t>
        </is>
      </c>
      <c r="B15" s="18" t="n">
        <v>0.25</v>
      </c>
      <c r="C15" s="2" t="n"/>
      <c r="D15" s="2" t="n"/>
    </row>
    <row r="16">
      <c r="A16" s="5" t="inlineStr">
        <is>
          <t>Recruiting wird verkauft ab Monat (8 = Jun 27)</t>
        </is>
      </c>
      <c r="B16" s="19" t="n">
        <v>8</v>
      </c>
      <c r="C16" s="2" t="n"/>
      <c r="D16" s="2" t="n"/>
    </row>
    <row r="17">
      <c r="A17" s="5" t="inlineStr">
        <is>
          <t>Kündigung Pflege / Monat</t>
        </is>
      </c>
      <c r="B17" s="17" t="n">
        <v>0.01</v>
      </c>
      <c r="C17" s="2" t="n"/>
      <c r="D17" s="2" t="n"/>
    </row>
    <row r="18">
      <c r="A18" s="5" t="inlineStr">
        <is>
          <t>Kündigung Programm / Monat</t>
        </is>
      </c>
      <c r="B18" s="17" t="n">
        <v>0.02</v>
      </c>
      <c r="C18" s="2" t="n"/>
      <c r="D18" s="2" t="n"/>
    </row>
    <row r="19">
      <c r="A19" s="5" t="inlineStr">
        <is>
          <t>Kündigung SEO / Monat</t>
        </is>
      </c>
      <c r="B19" s="17" t="n">
        <v>0.03</v>
      </c>
      <c r="C19" s="2" t="n"/>
      <c r="D19" s="2" t="n"/>
    </row>
    <row r="20">
      <c r="A20" s="5" t="inlineStr">
        <is>
          <t>Kündigung Recruiting / Monat</t>
        </is>
      </c>
      <c r="B20" s="17" t="n">
        <v>0.05</v>
      </c>
      <c r="C20" s="2" t="n"/>
      <c r="D20" s="2" t="n"/>
    </row>
    <row r="21">
      <c r="A21" s="5" t="inlineStr">
        <is>
          <t>Std. je neuer Website</t>
        </is>
      </c>
      <c r="B21" s="13" t="n">
        <v>24</v>
      </c>
      <c r="C21" s="2" t="n"/>
      <c r="D21" s="2" t="n"/>
    </row>
    <row r="22">
      <c r="A22" s="5" t="inlineStr">
        <is>
          <t>Std. Einrichtung Programm</t>
        </is>
      </c>
      <c r="B22" s="13" t="n">
        <v>28</v>
      </c>
      <c r="C22" s="2" t="n"/>
      <c r="D22" s="2" t="n"/>
    </row>
    <row r="23">
      <c r="A23" s="5" t="inlineStr">
        <is>
          <t>Std. Einrichtung SEO</t>
        </is>
      </c>
      <c r="B23" s="13" t="n">
        <v>10</v>
      </c>
      <c r="C23" s="2" t="n"/>
      <c r="D23" s="2" t="n"/>
    </row>
    <row r="24">
      <c r="A24" s="5" t="inlineStr">
        <is>
          <t>Std. Einrichtung Recruiting</t>
        </is>
      </c>
      <c r="B24" s="13" t="n">
        <v>10</v>
      </c>
      <c r="C24" s="2" t="n"/>
      <c r="D24" s="2" t="n"/>
    </row>
    <row r="25">
      <c r="A25" s="5" t="inlineStr">
        <is>
          <t>Std. je Pflege-Kunde / Monat</t>
        </is>
      </c>
      <c r="B25" s="13" t="n">
        <v>0.25</v>
      </c>
      <c r="C25" s="2" t="n"/>
      <c r="D25" s="2" t="n"/>
    </row>
    <row r="26">
      <c r="A26" s="5" t="inlineStr">
        <is>
          <t>Std. je Programm-Kunde / Monat</t>
        </is>
      </c>
      <c r="B26" s="13" t="n">
        <v>13</v>
      </c>
      <c r="C26" s="2" t="n"/>
      <c r="D26" s="2" t="n"/>
    </row>
    <row r="27">
      <c r="A27" s="5" t="inlineStr">
        <is>
          <t>Std. je SEO-Kunde / Monat</t>
        </is>
      </c>
      <c r="B27" s="13" t="n">
        <v>6</v>
      </c>
      <c r="C27" s="2" t="n"/>
      <c r="D27" s="2" t="n"/>
    </row>
    <row r="28">
      <c r="A28" s="5" t="inlineStr">
        <is>
          <t>Std. je Recruiting-Kunde / Monat</t>
        </is>
      </c>
      <c r="B28" s="13" t="n">
        <v>7</v>
      </c>
      <c r="C28" s="2" t="n"/>
      <c r="D28" s="2" t="n"/>
    </row>
    <row r="29">
      <c r="A29" s="5" t="inlineStr">
        <is>
          <t>Vertriebsstunden je Abschluss</t>
        </is>
      </c>
      <c r="B29" s="20" t="n">
        <v>10</v>
      </c>
      <c r="C29" s="2" t="n"/>
      <c r="D29" s="2" t="n"/>
    </row>
    <row r="30">
      <c r="A30" s="5" t="inlineStr">
        <is>
          <t>AUTOMATISIERT: Std. je neuer Website</t>
        </is>
      </c>
      <c r="B30" s="13" t="n">
        <v>10</v>
      </c>
      <c r="C30" s="2" t="n"/>
      <c r="D30" s="2" t="n"/>
    </row>
    <row r="31">
      <c r="A31" s="5" t="inlineStr">
        <is>
          <t>AUTOMATISIERT: Std. Einrichtung Programm</t>
        </is>
      </c>
      <c r="B31" s="13" t="n">
        <v>14</v>
      </c>
      <c r="C31" s="2" t="n"/>
      <c r="D31" s="2" t="n"/>
    </row>
    <row r="32">
      <c r="A32" s="5" t="inlineStr">
        <is>
          <t>AUTOMATISIERT: Std. Einrichtung SEO</t>
        </is>
      </c>
      <c r="B32" s="13" t="n">
        <v>5</v>
      </c>
      <c r="C32" s="2" t="n"/>
      <c r="D32" s="2" t="n"/>
    </row>
    <row r="33">
      <c r="A33" s="5" t="inlineStr">
        <is>
          <t>AUTOMATISIERT: Std. Einrichtung Recruiting</t>
        </is>
      </c>
      <c r="B33" s="13" t="n">
        <v>6</v>
      </c>
      <c r="C33" s="2" t="n"/>
      <c r="D33" s="2" t="n"/>
    </row>
    <row r="34">
      <c r="A34" s="5" t="inlineStr">
        <is>
          <t>AUTOMATISIERT: Std. je Pflege-Kunde / Monat</t>
        </is>
      </c>
      <c r="B34" s="13" t="n">
        <v>0.1</v>
      </c>
      <c r="C34" s="2" t="n"/>
      <c r="D34" s="2" t="n"/>
    </row>
    <row r="35">
      <c r="A35" s="5" t="inlineStr">
        <is>
          <t>AUTOMATISIERT: Std. je Programm-Kunde / Monat</t>
        </is>
      </c>
      <c r="B35" s="13" t="n">
        <v>7</v>
      </c>
      <c r="C35" s="2" t="n"/>
      <c r="D35" s="2" t="n"/>
    </row>
    <row r="36">
      <c r="A36" s="5" t="inlineStr">
        <is>
          <t>AUTOMATISIERT: Std. je SEO-Kunde / Monat</t>
        </is>
      </c>
      <c r="B36" s="13" t="n">
        <v>3</v>
      </c>
      <c r="C36" s="2" t="n"/>
      <c r="D36" s="2" t="n"/>
    </row>
    <row r="37">
      <c r="A37" s="5" t="inlineStr">
        <is>
          <t>AUTOMATISIERT: Std. je Recruiting-Kunde / Monat</t>
        </is>
      </c>
      <c r="B37" s="13" t="n">
        <v>4</v>
      </c>
      <c r="C37" s="2" t="n"/>
      <c r="D37" s="2" t="n"/>
    </row>
    <row r="38">
      <c r="A38" s="5" t="inlineStr">
        <is>
          <t>AUTOMATISIERT: Vertriebsstunden je Abschluss</t>
        </is>
      </c>
      <c r="B38" s="13" t="n">
        <v>6</v>
      </c>
      <c r="C38" s="2" t="n"/>
      <c r="D38" s="2" t="n"/>
    </row>
    <row r="39">
      <c r="A39" s="5" t="inlineStr">
        <is>
          <t>Automatisierung läuft ab Abschluss Nr.</t>
        </is>
      </c>
      <c r="B39" s="19" t="n">
        <v>5</v>
      </c>
      <c r="C39" s="2" t="n"/>
      <c r="D39" s="2" t="n"/>
    </row>
    <row r="40">
      <c r="A40" s="5" t="inlineStr">
        <is>
          <t>Systemkosten Automatisierung / Monat</t>
        </is>
      </c>
      <c r="B40" s="12" t="n">
        <v>150</v>
      </c>
      <c r="C40" s="2" t="n"/>
      <c r="D40" s="2" t="n"/>
    </row>
    <row r="41">
      <c r="A41" s="5" t="inlineStr">
        <is>
          <t>Arbeitsstunden pro Monat</t>
        </is>
      </c>
      <c r="B41" s="20" t="n">
        <v>170</v>
      </c>
      <c r="C41" s="2" t="n"/>
      <c r="D41" s="2" t="n"/>
    </row>
    <row r="42">
      <c r="A42" s="5" t="inlineStr">
        <is>
          <t>Fixkosten / Monat</t>
        </is>
      </c>
      <c r="B42" s="12" t="n">
        <v>205</v>
      </c>
      <c r="C42" s="2" t="n"/>
      <c r="D42" s="2" t="n"/>
    </row>
    <row r="43">
      <c r="A43" s="5" t="inlineStr">
        <is>
          <t>Eigenes Marketing / Monat</t>
        </is>
      </c>
      <c r="B43" s="12" t="n">
        <v>150</v>
      </c>
      <c r="C43" s="2" t="n"/>
      <c r="D43" s="2" t="n"/>
    </row>
    <row r="44">
      <c r="A44" s="2" t="n"/>
      <c r="B44" s="2" t="n"/>
      <c r="C44" s="2" t="n"/>
      <c r="D44" s="2" t="n"/>
    </row>
    <row r="45">
      <c r="A45" s="7" t="inlineStr">
        <is>
          <t>Std. je neuem Abschluss (Ø von Hand, alle Produkte, inkl. Vertrieb)</t>
        </is>
      </c>
      <c r="B45" s="21">
        <f>Annahmen!$B$12*(Annahmen!$B$21+Annahmen!$B$25+Annahmen!$B$29)+Annahmen!$B$13*(Annahmen!$B$22+Annahmen!$B$26+Annahmen!$B$29)+Annahmen!$B$14*(Annahmen!$B$23+Annahmen!$B$27+Annahmen!$B$29)+Annahmen!$B$15*(Annahmen!$B$24+Annahmen!$B$28+Annahmen!$B$29)</f>
        <v/>
      </c>
      <c r="C45" s="2" t="n"/>
      <c r="D45" s="2" t="n"/>
    </row>
    <row r="46">
      <c r="A46" s="2" t="n"/>
      <c r="B46" s="2" t="n"/>
      <c r="C46" s="2" t="n"/>
      <c r="D46" s="2" t="n"/>
    </row>
    <row r="47">
      <c r="A47" s="4" t="inlineStr">
        <is>
          <t>Abschluss-Ziel (Vertriebstempo)</t>
        </is>
      </c>
      <c r="B47" s="4" t="inlineStr">
        <is>
          <t>Konservativ</t>
        </is>
      </c>
      <c r="C47" s="4" t="inlineStr">
        <is>
          <t>Basis</t>
        </is>
      </c>
      <c r="D47" s="4" t="inlineStr">
        <is>
          <t>Optimistisch</t>
        </is>
      </c>
    </row>
    <row r="48">
      <c r="A48" s="5" t="inlineStr">
        <is>
          <t>Abschlüsse / Monat, Monat 1–2</t>
        </is>
      </c>
      <c r="B48" s="20" t="n">
        <v>1</v>
      </c>
      <c r="C48" s="20" t="n">
        <v>2</v>
      </c>
      <c r="D48" s="20" t="n">
        <v>3</v>
      </c>
    </row>
    <row r="49">
      <c r="A49" s="5" t="inlineStr">
        <is>
          <t>Abschlüsse / Monat, ab Monat 3</t>
        </is>
      </c>
      <c r="B49" s="20" t="n">
        <v>2</v>
      </c>
      <c r="C49" s="20" t="n">
        <v>3</v>
      </c>
      <c r="D49" s="20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Solo-Plan · Szenario Konservativ · von Hand (24 Monate ab Nov 2026)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</row>
    <row r="2">
      <c r="A2" s="3" t="inlineStr">
        <is>
          <t>Abschlüsse = Minimum aus Vertriebstempo und freien Stunden. Kundenzahlen sind Erwartungswerte.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</row>
    <row r="4">
      <c r="A4" s="4" t="inlineStr">
        <is>
          <t>Monat</t>
        </is>
      </c>
      <c r="B4" s="4" t="inlineStr">
        <is>
          <t>Nov 26</t>
        </is>
      </c>
      <c r="C4" s="4" t="inlineStr">
        <is>
          <t>Dez 26</t>
        </is>
      </c>
      <c r="D4" s="4" t="inlineStr">
        <is>
          <t>Jan 27</t>
        </is>
      </c>
      <c r="E4" s="4" t="inlineStr">
        <is>
          <t>Feb 27</t>
        </is>
      </c>
      <c r="F4" s="4" t="inlineStr">
        <is>
          <t>Mär 27</t>
        </is>
      </c>
      <c r="G4" s="4" t="inlineStr">
        <is>
          <t>Apr 27</t>
        </is>
      </c>
      <c r="H4" s="4" t="inlineStr">
        <is>
          <t>Mai 27</t>
        </is>
      </c>
      <c r="I4" s="4" t="inlineStr">
        <is>
          <t>Jun 27</t>
        </is>
      </c>
      <c r="J4" s="4" t="inlineStr">
        <is>
          <t>Jul 27</t>
        </is>
      </c>
      <c r="K4" s="4" t="inlineStr">
        <is>
          <t>Aug 27</t>
        </is>
      </c>
      <c r="L4" s="4" t="inlineStr">
        <is>
          <t>Sep 27</t>
        </is>
      </c>
      <c r="M4" s="4" t="inlineStr">
        <is>
          <t>Okt 27</t>
        </is>
      </c>
      <c r="N4" s="4" t="inlineStr">
        <is>
          <t>Nov 27</t>
        </is>
      </c>
      <c r="O4" s="4" t="inlineStr">
        <is>
          <t>Dez 27</t>
        </is>
      </c>
      <c r="P4" s="4" t="inlineStr">
        <is>
          <t>Jan 28</t>
        </is>
      </c>
      <c r="Q4" s="4" t="inlineStr">
        <is>
          <t>Feb 28</t>
        </is>
      </c>
      <c r="R4" s="4" t="inlineStr">
        <is>
          <t>Mär 28</t>
        </is>
      </c>
      <c r="S4" s="4" t="inlineStr">
        <is>
          <t>Apr 28</t>
        </is>
      </c>
      <c r="T4" s="4" t="inlineStr">
        <is>
          <t>Mai 28</t>
        </is>
      </c>
      <c r="U4" s="4" t="inlineStr">
        <is>
          <t>Jun 28</t>
        </is>
      </c>
      <c r="V4" s="4" t="inlineStr">
        <is>
          <t>Jul 28</t>
        </is>
      </c>
      <c r="W4" s="4" t="inlineStr">
        <is>
          <t>Aug 28</t>
        </is>
      </c>
      <c r="X4" s="4" t="inlineStr">
        <is>
          <t>Sep 28</t>
        </is>
      </c>
      <c r="Y4" s="4" t="inlineStr">
        <is>
          <t>Okt 28</t>
        </is>
      </c>
    </row>
    <row r="5">
      <c r="A5" s="5" t="inlineStr">
        <is>
          <t>Abschluss-Ziel (Vertrieb)</t>
        </is>
      </c>
      <c r="B5" s="22">
        <f>Annahmen!$B$48</f>
        <v/>
      </c>
      <c r="C5" s="22">
        <f>Annahmen!$B$48</f>
        <v/>
      </c>
      <c r="D5" s="22">
        <f>Annahmen!$B$49</f>
        <v/>
      </c>
      <c r="E5" s="22">
        <f>Annahmen!$B$49</f>
        <v/>
      </c>
      <c r="F5" s="22">
        <f>Annahmen!$B$49</f>
        <v/>
      </c>
      <c r="G5" s="22">
        <f>Annahmen!$B$49</f>
        <v/>
      </c>
      <c r="H5" s="22">
        <f>Annahmen!$B$49</f>
        <v/>
      </c>
      <c r="I5" s="22">
        <f>Annahmen!$B$49</f>
        <v/>
      </c>
      <c r="J5" s="22">
        <f>Annahmen!$B$49</f>
        <v/>
      </c>
      <c r="K5" s="22">
        <f>Annahmen!$B$49</f>
        <v/>
      </c>
      <c r="L5" s="22">
        <f>Annahmen!$B$49</f>
        <v/>
      </c>
      <c r="M5" s="22">
        <f>Annahmen!$B$49</f>
        <v/>
      </c>
      <c r="N5" s="22">
        <f>Annahmen!$B$49</f>
        <v/>
      </c>
      <c r="O5" s="22">
        <f>Annahmen!$B$49</f>
        <v/>
      </c>
      <c r="P5" s="22">
        <f>Annahmen!$B$49</f>
        <v/>
      </c>
      <c r="Q5" s="22">
        <f>Annahmen!$B$49</f>
        <v/>
      </c>
      <c r="R5" s="22">
        <f>Annahmen!$B$49</f>
        <v/>
      </c>
      <c r="S5" s="22">
        <f>Annahmen!$B$49</f>
        <v/>
      </c>
      <c r="T5" s="22">
        <f>Annahmen!$B$49</f>
        <v/>
      </c>
      <c r="U5" s="22">
        <f>Annahmen!$B$49</f>
        <v/>
      </c>
      <c r="V5" s="22">
        <f>Annahmen!$B$49</f>
        <v/>
      </c>
      <c r="W5" s="22">
        <f>Annahmen!$B$49</f>
        <v/>
      </c>
      <c r="X5" s="22">
        <f>Annahmen!$B$49</f>
        <v/>
      </c>
      <c r="Y5" s="22">
        <f>Annahmen!$B$49</f>
        <v/>
      </c>
    </row>
    <row r="6">
      <c r="A6" s="5" t="inlineStr">
        <is>
          <t>Recruiting im Verkauf (1 = ja)</t>
        </is>
      </c>
      <c r="B6" s="23">
        <f>IF(1&gt;=Annahmen!$B$16,1,0)</f>
        <v/>
      </c>
      <c r="C6" s="23">
        <f>IF(2&gt;=Annahmen!$B$16,1,0)</f>
        <v/>
      </c>
      <c r="D6" s="23">
        <f>IF(3&gt;=Annahmen!$B$16,1,0)</f>
        <v/>
      </c>
      <c r="E6" s="23">
        <f>IF(4&gt;=Annahmen!$B$16,1,0)</f>
        <v/>
      </c>
      <c r="F6" s="23">
        <f>IF(5&gt;=Annahmen!$B$16,1,0)</f>
        <v/>
      </c>
      <c r="G6" s="23">
        <f>IF(6&gt;=Annahmen!$B$16,1,0)</f>
        <v/>
      </c>
      <c r="H6" s="23">
        <f>IF(7&gt;=Annahmen!$B$16,1,0)</f>
        <v/>
      </c>
      <c r="I6" s="23">
        <f>IF(8&gt;=Annahmen!$B$16,1,0)</f>
        <v/>
      </c>
      <c r="J6" s="23">
        <f>IF(9&gt;=Annahmen!$B$16,1,0)</f>
        <v/>
      </c>
      <c r="K6" s="23">
        <f>IF(10&gt;=Annahmen!$B$16,1,0)</f>
        <v/>
      </c>
      <c r="L6" s="23">
        <f>IF(11&gt;=Annahmen!$B$16,1,0)</f>
        <v/>
      </c>
      <c r="M6" s="23">
        <f>IF(12&gt;=Annahmen!$B$16,1,0)</f>
        <v/>
      </c>
      <c r="N6" s="23">
        <f>IF(13&gt;=Annahmen!$B$16,1,0)</f>
        <v/>
      </c>
      <c r="O6" s="23">
        <f>IF(14&gt;=Annahmen!$B$16,1,0)</f>
        <v/>
      </c>
      <c r="P6" s="23">
        <f>IF(15&gt;=Annahmen!$B$16,1,0)</f>
        <v/>
      </c>
      <c r="Q6" s="23">
        <f>IF(16&gt;=Annahmen!$B$16,1,0)</f>
        <v/>
      </c>
      <c r="R6" s="23">
        <f>IF(17&gt;=Annahmen!$B$16,1,0)</f>
        <v/>
      </c>
      <c r="S6" s="23">
        <f>IF(18&gt;=Annahmen!$B$16,1,0)</f>
        <v/>
      </c>
      <c r="T6" s="23">
        <f>IF(19&gt;=Annahmen!$B$16,1,0)</f>
        <v/>
      </c>
      <c r="U6" s="23">
        <f>IF(20&gt;=Annahmen!$B$16,1,0)</f>
        <v/>
      </c>
      <c r="V6" s="23">
        <f>IF(21&gt;=Annahmen!$B$16,1,0)</f>
        <v/>
      </c>
      <c r="W6" s="23">
        <f>IF(22&gt;=Annahmen!$B$16,1,0)</f>
        <v/>
      </c>
      <c r="X6" s="23">
        <f>IF(23&gt;=Annahmen!$B$16,1,0)</f>
        <v/>
      </c>
      <c r="Y6" s="23">
        <f>IF(24&gt;=Annahmen!$B$16,1,0)</f>
        <v/>
      </c>
    </row>
    <row r="7">
      <c r="A7" s="5" t="inlineStr">
        <is>
          <t>Automatisierung aktiv (1 = ja)</t>
        </is>
      </c>
      <c r="B7" s="23">
        <f>0</f>
        <v/>
      </c>
      <c r="C7" s="23">
        <f>0</f>
        <v/>
      </c>
      <c r="D7" s="23">
        <f>0</f>
        <v/>
      </c>
      <c r="E7" s="23">
        <f>0</f>
        <v/>
      </c>
      <c r="F7" s="23">
        <f>0</f>
        <v/>
      </c>
      <c r="G7" s="23">
        <f>0</f>
        <v/>
      </c>
      <c r="H7" s="23">
        <f>0</f>
        <v/>
      </c>
      <c r="I7" s="23">
        <f>0</f>
        <v/>
      </c>
      <c r="J7" s="23">
        <f>0</f>
        <v/>
      </c>
      <c r="K7" s="23">
        <f>0</f>
        <v/>
      </c>
      <c r="L7" s="23">
        <f>0</f>
        <v/>
      </c>
      <c r="M7" s="23">
        <f>0</f>
        <v/>
      </c>
      <c r="N7" s="23">
        <f>0</f>
        <v/>
      </c>
      <c r="O7" s="23">
        <f>0</f>
        <v/>
      </c>
      <c r="P7" s="23">
        <f>0</f>
        <v/>
      </c>
      <c r="Q7" s="23">
        <f>0</f>
        <v/>
      </c>
      <c r="R7" s="23">
        <f>0</f>
        <v/>
      </c>
      <c r="S7" s="23">
        <f>0</f>
        <v/>
      </c>
      <c r="T7" s="23">
        <f>0</f>
        <v/>
      </c>
      <c r="U7" s="23">
        <f>0</f>
        <v/>
      </c>
      <c r="V7" s="23">
        <f>0</f>
        <v/>
      </c>
      <c r="W7" s="23">
        <f>0</f>
        <v/>
      </c>
      <c r="X7" s="23">
        <f>0</f>
        <v/>
      </c>
      <c r="Y7" s="23">
        <f>0</f>
        <v/>
      </c>
    </row>
    <row r="8">
      <c r="A8" s="5" t="inlineStr">
        <is>
          <t>Std. je neuem Abschluss</t>
        </is>
      </c>
      <c r="B8" s="22">
        <f>Annahmen!$B$12/(1-Annahmen!$B$15*(1-B6))*((Annahmen!$B$21+B7*(Annahmen!$B$30-Annahmen!$B$21))+(Annahmen!$B$25+B7*(Annahmen!$B$34-Annahmen!$B$25))+(Annahmen!$B$29+B7*(Annahmen!$B$38-Annahmen!$B$29)))+Annahmen!$B$13/(1-Annahmen!$B$15*(1-B6))*((Annahmen!$B$22+B7*(Annahmen!$B$31-Annahmen!$B$22))+(Annahmen!$B$26+B7*(Annahmen!$B$35-Annahmen!$B$26))+(Annahmen!$B$29+B7*(Annahmen!$B$38-Annahmen!$B$29)))+Annahmen!$B$14/(1-Annahmen!$B$15*(1-B6))*((Annahmen!$B$23+B7*(Annahmen!$B$32-Annahmen!$B$23))+(Annahmen!$B$27+B7*(Annahmen!$B$36-Annahmen!$B$27))+(Annahmen!$B$29+B7*(Annahmen!$B$38-Annahmen!$B$29)))+Annahmen!$B$15*B6*((Annahmen!$B$24+B7*(Annahmen!$B$33-Annahmen!$B$24))+(Annahmen!$B$28+B7*(Annahmen!$B$37-Annahmen!$B$28))+(Annahmen!$B$29+B7*(Annahmen!$B$38-Annahmen!$B$29)))</f>
        <v/>
      </c>
      <c r="C8" s="22">
        <f>Annahmen!$B$12/(1-Annahmen!$B$15*(1-C6))*((Annahmen!$B$21+C7*(Annahmen!$B$30-Annahmen!$B$21))+(Annahmen!$B$25+C7*(Annahmen!$B$34-Annahmen!$B$25))+(Annahmen!$B$29+C7*(Annahmen!$B$38-Annahmen!$B$29)))+Annahmen!$B$13/(1-Annahmen!$B$15*(1-C6))*((Annahmen!$B$22+C7*(Annahmen!$B$31-Annahmen!$B$22))+(Annahmen!$B$26+C7*(Annahmen!$B$35-Annahmen!$B$26))+(Annahmen!$B$29+C7*(Annahmen!$B$38-Annahmen!$B$29)))+Annahmen!$B$14/(1-Annahmen!$B$15*(1-C6))*((Annahmen!$B$23+C7*(Annahmen!$B$32-Annahmen!$B$23))+(Annahmen!$B$27+C7*(Annahmen!$B$36-Annahmen!$B$27))+(Annahmen!$B$29+C7*(Annahmen!$B$38-Annahmen!$B$29)))+Annahmen!$B$15*C6*((Annahmen!$B$24+C7*(Annahmen!$B$33-Annahmen!$B$24))+(Annahmen!$B$28+C7*(Annahmen!$B$37-Annahmen!$B$28))+(Annahmen!$B$29+C7*(Annahmen!$B$38-Annahmen!$B$29)))</f>
        <v/>
      </c>
      <c r="D8" s="22">
        <f>Annahmen!$B$12/(1-Annahmen!$B$15*(1-D6))*((Annahmen!$B$21+D7*(Annahmen!$B$30-Annahmen!$B$21))+(Annahmen!$B$25+D7*(Annahmen!$B$34-Annahmen!$B$25))+(Annahmen!$B$29+D7*(Annahmen!$B$38-Annahmen!$B$29)))+Annahmen!$B$13/(1-Annahmen!$B$15*(1-D6))*((Annahmen!$B$22+D7*(Annahmen!$B$31-Annahmen!$B$22))+(Annahmen!$B$26+D7*(Annahmen!$B$35-Annahmen!$B$26))+(Annahmen!$B$29+D7*(Annahmen!$B$38-Annahmen!$B$29)))+Annahmen!$B$14/(1-Annahmen!$B$15*(1-D6))*((Annahmen!$B$23+D7*(Annahmen!$B$32-Annahmen!$B$23))+(Annahmen!$B$27+D7*(Annahmen!$B$36-Annahmen!$B$27))+(Annahmen!$B$29+D7*(Annahmen!$B$38-Annahmen!$B$29)))+Annahmen!$B$15*D6*((Annahmen!$B$24+D7*(Annahmen!$B$33-Annahmen!$B$24))+(Annahmen!$B$28+D7*(Annahmen!$B$37-Annahmen!$B$28))+(Annahmen!$B$29+D7*(Annahmen!$B$38-Annahmen!$B$29)))</f>
        <v/>
      </c>
      <c r="E8" s="22">
        <f>Annahmen!$B$12/(1-Annahmen!$B$15*(1-E6))*((Annahmen!$B$21+E7*(Annahmen!$B$30-Annahmen!$B$21))+(Annahmen!$B$25+E7*(Annahmen!$B$34-Annahmen!$B$25))+(Annahmen!$B$29+E7*(Annahmen!$B$38-Annahmen!$B$29)))+Annahmen!$B$13/(1-Annahmen!$B$15*(1-E6))*((Annahmen!$B$22+E7*(Annahmen!$B$31-Annahmen!$B$22))+(Annahmen!$B$26+E7*(Annahmen!$B$35-Annahmen!$B$26))+(Annahmen!$B$29+E7*(Annahmen!$B$38-Annahmen!$B$29)))+Annahmen!$B$14/(1-Annahmen!$B$15*(1-E6))*((Annahmen!$B$23+E7*(Annahmen!$B$32-Annahmen!$B$23))+(Annahmen!$B$27+E7*(Annahmen!$B$36-Annahmen!$B$27))+(Annahmen!$B$29+E7*(Annahmen!$B$38-Annahmen!$B$29)))+Annahmen!$B$15*E6*((Annahmen!$B$24+E7*(Annahmen!$B$33-Annahmen!$B$24))+(Annahmen!$B$28+E7*(Annahmen!$B$37-Annahmen!$B$28))+(Annahmen!$B$29+E7*(Annahmen!$B$38-Annahmen!$B$29)))</f>
        <v/>
      </c>
      <c r="F8" s="22">
        <f>Annahmen!$B$12/(1-Annahmen!$B$15*(1-F6))*((Annahmen!$B$21+F7*(Annahmen!$B$30-Annahmen!$B$21))+(Annahmen!$B$25+F7*(Annahmen!$B$34-Annahmen!$B$25))+(Annahmen!$B$29+F7*(Annahmen!$B$38-Annahmen!$B$29)))+Annahmen!$B$13/(1-Annahmen!$B$15*(1-F6))*((Annahmen!$B$22+F7*(Annahmen!$B$31-Annahmen!$B$22))+(Annahmen!$B$26+F7*(Annahmen!$B$35-Annahmen!$B$26))+(Annahmen!$B$29+F7*(Annahmen!$B$38-Annahmen!$B$29)))+Annahmen!$B$14/(1-Annahmen!$B$15*(1-F6))*((Annahmen!$B$23+F7*(Annahmen!$B$32-Annahmen!$B$23))+(Annahmen!$B$27+F7*(Annahmen!$B$36-Annahmen!$B$27))+(Annahmen!$B$29+F7*(Annahmen!$B$38-Annahmen!$B$29)))+Annahmen!$B$15*F6*((Annahmen!$B$24+F7*(Annahmen!$B$33-Annahmen!$B$24))+(Annahmen!$B$28+F7*(Annahmen!$B$37-Annahmen!$B$28))+(Annahmen!$B$29+F7*(Annahmen!$B$38-Annahmen!$B$29)))</f>
        <v/>
      </c>
      <c r="G8" s="22">
        <f>Annahmen!$B$12/(1-Annahmen!$B$15*(1-G6))*((Annahmen!$B$21+G7*(Annahmen!$B$30-Annahmen!$B$21))+(Annahmen!$B$25+G7*(Annahmen!$B$34-Annahmen!$B$25))+(Annahmen!$B$29+G7*(Annahmen!$B$38-Annahmen!$B$29)))+Annahmen!$B$13/(1-Annahmen!$B$15*(1-G6))*((Annahmen!$B$22+G7*(Annahmen!$B$31-Annahmen!$B$22))+(Annahmen!$B$26+G7*(Annahmen!$B$35-Annahmen!$B$26))+(Annahmen!$B$29+G7*(Annahmen!$B$38-Annahmen!$B$29)))+Annahmen!$B$14/(1-Annahmen!$B$15*(1-G6))*((Annahmen!$B$23+G7*(Annahmen!$B$32-Annahmen!$B$23))+(Annahmen!$B$27+G7*(Annahmen!$B$36-Annahmen!$B$27))+(Annahmen!$B$29+G7*(Annahmen!$B$38-Annahmen!$B$29)))+Annahmen!$B$15*G6*((Annahmen!$B$24+G7*(Annahmen!$B$33-Annahmen!$B$24))+(Annahmen!$B$28+G7*(Annahmen!$B$37-Annahmen!$B$28))+(Annahmen!$B$29+G7*(Annahmen!$B$38-Annahmen!$B$29)))</f>
        <v/>
      </c>
      <c r="H8" s="22">
        <f>Annahmen!$B$12/(1-Annahmen!$B$15*(1-H6))*((Annahmen!$B$21+H7*(Annahmen!$B$30-Annahmen!$B$21))+(Annahmen!$B$25+H7*(Annahmen!$B$34-Annahmen!$B$25))+(Annahmen!$B$29+H7*(Annahmen!$B$38-Annahmen!$B$29)))+Annahmen!$B$13/(1-Annahmen!$B$15*(1-H6))*((Annahmen!$B$22+H7*(Annahmen!$B$31-Annahmen!$B$22))+(Annahmen!$B$26+H7*(Annahmen!$B$35-Annahmen!$B$26))+(Annahmen!$B$29+H7*(Annahmen!$B$38-Annahmen!$B$29)))+Annahmen!$B$14/(1-Annahmen!$B$15*(1-H6))*((Annahmen!$B$23+H7*(Annahmen!$B$32-Annahmen!$B$23))+(Annahmen!$B$27+H7*(Annahmen!$B$36-Annahmen!$B$27))+(Annahmen!$B$29+H7*(Annahmen!$B$38-Annahmen!$B$29)))+Annahmen!$B$15*H6*((Annahmen!$B$24+H7*(Annahmen!$B$33-Annahmen!$B$24))+(Annahmen!$B$28+H7*(Annahmen!$B$37-Annahmen!$B$28))+(Annahmen!$B$29+H7*(Annahmen!$B$38-Annahmen!$B$29)))</f>
        <v/>
      </c>
      <c r="I8" s="22">
        <f>Annahmen!$B$12/(1-Annahmen!$B$15*(1-I6))*((Annahmen!$B$21+I7*(Annahmen!$B$30-Annahmen!$B$21))+(Annahmen!$B$25+I7*(Annahmen!$B$34-Annahmen!$B$25))+(Annahmen!$B$29+I7*(Annahmen!$B$38-Annahmen!$B$29)))+Annahmen!$B$13/(1-Annahmen!$B$15*(1-I6))*((Annahmen!$B$22+I7*(Annahmen!$B$31-Annahmen!$B$22))+(Annahmen!$B$26+I7*(Annahmen!$B$35-Annahmen!$B$26))+(Annahmen!$B$29+I7*(Annahmen!$B$38-Annahmen!$B$29)))+Annahmen!$B$14/(1-Annahmen!$B$15*(1-I6))*((Annahmen!$B$23+I7*(Annahmen!$B$32-Annahmen!$B$23))+(Annahmen!$B$27+I7*(Annahmen!$B$36-Annahmen!$B$27))+(Annahmen!$B$29+I7*(Annahmen!$B$38-Annahmen!$B$29)))+Annahmen!$B$15*I6*((Annahmen!$B$24+I7*(Annahmen!$B$33-Annahmen!$B$24))+(Annahmen!$B$28+I7*(Annahmen!$B$37-Annahmen!$B$28))+(Annahmen!$B$29+I7*(Annahmen!$B$38-Annahmen!$B$29)))</f>
        <v/>
      </c>
      <c r="J8" s="22">
        <f>Annahmen!$B$12/(1-Annahmen!$B$15*(1-J6))*((Annahmen!$B$21+J7*(Annahmen!$B$30-Annahmen!$B$21))+(Annahmen!$B$25+J7*(Annahmen!$B$34-Annahmen!$B$25))+(Annahmen!$B$29+J7*(Annahmen!$B$38-Annahmen!$B$29)))+Annahmen!$B$13/(1-Annahmen!$B$15*(1-J6))*((Annahmen!$B$22+J7*(Annahmen!$B$31-Annahmen!$B$22))+(Annahmen!$B$26+J7*(Annahmen!$B$35-Annahmen!$B$26))+(Annahmen!$B$29+J7*(Annahmen!$B$38-Annahmen!$B$29)))+Annahmen!$B$14/(1-Annahmen!$B$15*(1-J6))*((Annahmen!$B$23+J7*(Annahmen!$B$32-Annahmen!$B$23))+(Annahmen!$B$27+J7*(Annahmen!$B$36-Annahmen!$B$27))+(Annahmen!$B$29+J7*(Annahmen!$B$38-Annahmen!$B$29)))+Annahmen!$B$15*J6*((Annahmen!$B$24+J7*(Annahmen!$B$33-Annahmen!$B$24))+(Annahmen!$B$28+J7*(Annahmen!$B$37-Annahmen!$B$28))+(Annahmen!$B$29+J7*(Annahmen!$B$38-Annahmen!$B$29)))</f>
        <v/>
      </c>
      <c r="K8" s="22">
        <f>Annahmen!$B$12/(1-Annahmen!$B$15*(1-K6))*((Annahmen!$B$21+K7*(Annahmen!$B$30-Annahmen!$B$21))+(Annahmen!$B$25+K7*(Annahmen!$B$34-Annahmen!$B$25))+(Annahmen!$B$29+K7*(Annahmen!$B$38-Annahmen!$B$29)))+Annahmen!$B$13/(1-Annahmen!$B$15*(1-K6))*((Annahmen!$B$22+K7*(Annahmen!$B$31-Annahmen!$B$22))+(Annahmen!$B$26+K7*(Annahmen!$B$35-Annahmen!$B$26))+(Annahmen!$B$29+K7*(Annahmen!$B$38-Annahmen!$B$29)))+Annahmen!$B$14/(1-Annahmen!$B$15*(1-K6))*((Annahmen!$B$23+K7*(Annahmen!$B$32-Annahmen!$B$23))+(Annahmen!$B$27+K7*(Annahmen!$B$36-Annahmen!$B$27))+(Annahmen!$B$29+K7*(Annahmen!$B$38-Annahmen!$B$29)))+Annahmen!$B$15*K6*((Annahmen!$B$24+K7*(Annahmen!$B$33-Annahmen!$B$24))+(Annahmen!$B$28+K7*(Annahmen!$B$37-Annahmen!$B$28))+(Annahmen!$B$29+K7*(Annahmen!$B$38-Annahmen!$B$29)))</f>
        <v/>
      </c>
      <c r="L8" s="22">
        <f>Annahmen!$B$12/(1-Annahmen!$B$15*(1-L6))*((Annahmen!$B$21+L7*(Annahmen!$B$30-Annahmen!$B$21))+(Annahmen!$B$25+L7*(Annahmen!$B$34-Annahmen!$B$25))+(Annahmen!$B$29+L7*(Annahmen!$B$38-Annahmen!$B$29)))+Annahmen!$B$13/(1-Annahmen!$B$15*(1-L6))*((Annahmen!$B$22+L7*(Annahmen!$B$31-Annahmen!$B$22))+(Annahmen!$B$26+L7*(Annahmen!$B$35-Annahmen!$B$26))+(Annahmen!$B$29+L7*(Annahmen!$B$38-Annahmen!$B$29)))+Annahmen!$B$14/(1-Annahmen!$B$15*(1-L6))*((Annahmen!$B$23+L7*(Annahmen!$B$32-Annahmen!$B$23))+(Annahmen!$B$27+L7*(Annahmen!$B$36-Annahmen!$B$27))+(Annahmen!$B$29+L7*(Annahmen!$B$38-Annahmen!$B$29)))+Annahmen!$B$15*L6*((Annahmen!$B$24+L7*(Annahmen!$B$33-Annahmen!$B$24))+(Annahmen!$B$28+L7*(Annahmen!$B$37-Annahmen!$B$28))+(Annahmen!$B$29+L7*(Annahmen!$B$38-Annahmen!$B$29)))</f>
        <v/>
      </c>
      <c r="M8" s="22">
        <f>Annahmen!$B$12/(1-Annahmen!$B$15*(1-M6))*((Annahmen!$B$21+M7*(Annahmen!$B$30-Annahmen!$B$21))+(Annahmen!$B$25+M7*(Annahmen!$B$34-Annahmen!$B$25))+(Annahmen!$B$29+M7*(Annahmen!$B$38-Annahmen!$B$29)))+Annahmen!$B$13/(1-Annahmen!$B$15*(1-M6))*((Annahmen!$B$22+M7*(Annahmen!$B$31-Annahmen!$B$22))+(Annahmen!$B$26+M7*(Annahmen!$B$35-Annahmen!$B$26))+(Annahmen!$B$29+M7*(Annahmen!$B$38-Annahmen!$B$29)))+Annahmen!$B$14/(1-Annahmen!$B$15*(1-M6))*((Annahmen!$B$23+M7*(Annahmen!$B$32-Annahmen!$B$23))+(Annahmen!$B$27+M7*(Annahmen!$B$36-Annahmen!$B$27))+(Annahmen!$B$29+M7*(Annahmen!$B$38-Annahmen!$B$29)))+Annahmen!$B$15*M6*((Annahmen!$B$24+M7*(Annahmen!$B$33-Annahmen!$B$24))+(Annahmen!$B$28+M7*(Annahmen!$B$37-Annahmen!$B$28))+(Annahmen!$B$29+M7*(Annahmen!$B$38-Annahmen!$B$29)))</f>
        <v/>
      </c>
      <c r="N8" s="22">
        <f>Annahmen!$B$12/(1-Annahmen!$B$15*(1-N6))*((Annahmen!$B$21+N7*(Annahmen!$B$30-Annahmen!$B$21))+(Annahmen!$B$25+N7*(Annahmen!$B$34-Annahmen!$B$25))+(Annahmen!$B$29+N7*(Annahmen!$B$38-Annahmen!$B$29)))+Annahmen!$B$13/(1-Annahmen!$B$15*(1-N6))*((Annahmen!$B$22+N7*(Annahmen!$B$31-Annahmen!$B$22))+(Annahmen!$B$26+N7*(Annahmen!$B$35-Annahmen!$B$26))+(Annahmen!$B$29+N7*(Annahmen!$B$38-Annahmen!$B$29)))+Annahmen!$B$14/(1-Annahmen!$B$15*(1-N6))*((Annahmen!$B$23+N7*(Annahmen!$B$32-Annahmen!$B$23))+(Annahmen!$B$27+N7*(Annahmen!$B$36-Annahmen!$B$27))+(Annahmen!$B$29+N7*(Annahmen!$B$38-Annahmen!$B$29)))+Annahmen!$B$15*N6*((Annahmen!$B$24+N7*(Annahmen!$B$33-Annahmen!$B$24))+(Annahmen!$B$28+N7*(Annahmen!$B$37-Annahmen!$B$28))+(Annahmen!$B$29+N7*(Annahmen!$B$38-Annahmen!$B$29)))</f>
        <v/>
      </c>
      <c r="O8" s="22">
        <f>Annahmen!$B$12/(1-Annahmen!$B$15*(1-O6))*((Annahmen!$B$21+O7*(Annahmen!$B$30-Annahmen!$B$21))+(Annahmen!$B$25+O7*(Annahmen!$B$34-Annahmen!$B$25))+(Annahmen!$B$29+O7*(Annahmen!$B$38-Annahmen!$B$29)))+Annahmen!$B$13/(1-Annahmen!$B$15*(1-O6))*((Annahmen!$B$22+O7*(Annahmen!$B$31-Annahmen!$B$22))+(Annahmen!$B$26+O7*(Annahmen!$B$35-Annahmen!$B$26))+(Annahmen!$B$29+O7*(Annahmen!$B$38-Annahmen!$B$29)))+Annahmen!$B$14/(1-Annahmen!$B$15*(1-O6))*((Annahmen!$B$23+O7*(Annahmen!$B$32-Annahmen!$B$23))+(Annahmen!$B$27+O7*(Annahmen!$B$36-Annahmen!$B$27))+(Annahmen!$B$29+O7*(Annahmen!$B$38-Annahmen!$B$29)))+Annahmen!$B$15*O6*((Annahmen!$B$24+O7*(Annahmen!$B$33-Annahmen!$B$24))+(Annahmen!$B$28+O7*(Annahmen!$B$37-Annahmen!$B$28))+(Annahmen!$B$29+O7*(Annahmen!$B$38-Annahmen!$B$29)))</f>
        <v/>
      </c>
      <c r="P8" s="22">
        <f>Annahmen!$B$12/(1-Annahmen!$B$15*(1-P6))*((Annahmen!$B$21+P7*(Annahmen!$B$30-Annahmen!$B$21))+(Annahmen!$B$25+P7*(Annahmen!$B$34-Annahmen!$B$25))+(Annahmen!$B$29+P7*(Annahmen!$B$38-Annahmen!$B$29)))+Annahmen!$B$13/(1-Annahmen!$B$15*(1-P6))*((Annahmen!$B$22+P7*(Annahmen!$B$31-Annahmen!$B$22))+(Annahmen!$B$26+P7*(Annahmen!$B$35-Annahmen!$B$26))+(Annahmen!$B$29+P7*(Annahmen!$B$38-Annahmen!$B$29)))+Annahmen!$B$14/(1-Annahmen!$B$15*(1-P6))*((Annahmen!$B$23+P7*(Annahmen!$B$32-Annahmen!$B$23))+(Annahmen!$B$27+P7*(Annahmen!$B$36-Annahmen!$B$27))+(Annahmen!$B$29+P7*(Annahmen!$B$38-Annahmen!$B$29)))+Annahmen!$B$15*P6*((Annahmen!$B$24+P7*(Annahmen!$B$33-Annahmen!$B$24))+(Annahmen!$B$28+P7*(Annahmen!$B$37-Annahmen!$B$28))+(Annahmen!$B$29+P7*(Annahmen!$B$38-Annahmen!$B$29)))</f>
        <v/>
      </c>
      <c r="Q8" s="22">
        <f>Annahmen!$B$12/(1-Annahmen!$B$15*(1-Q6))*((Annahmen!$B$21+Q7*(Annahmen!$B$30-Annahmen!$B$21))+(Annahmen!$B$25+Q7*(Annahmen!$B$34-Annahmen!$B$25))+(Annahmen!$B$29+Q7*(Annahmen!$B$38-Annahmen!$B$29)))+Annahmen!$B$13/(1-Annahmen!$B$15*(1-Q6))*((Annahmen!$B$22+Q7*(Annahmen!$B$31-Annahmen!$B$22))+(Annahmen!$B$26+Q7*(Annahmen!$B$35-Annahmen!$B$26))+(Annahmen!$B$29+Q7*(Annahmen!$B$38-Annahmen!$B$29)))+Annahmen!$B$14/(1-Annahmen!$B$15*(1-Q6))*((Annahmen!$B$23+Q7*(Annahmen!$B$32-Annahmen!$B$23))+(Annahmen!$B$27+Q7*(Annahmen!$B$36-Annahmen!$B$27))+(Annahmen!$B$29+Q7*(Annahmen!$B$38-Annahmen!$B$29)))+Annahmen!$B$15*Q6*((Annahmen!$B$24+Q7*(Annahmen!$B$33-Annahmen!$B$24))+(Annahmen!$B$28+Q7*(Annahmen!$B$37-Annahmen!$B$28))+(Annahmen!$B$29+Q7*(Annahmen!$B$38-Annahmen!$B$29)))</f>
        <v/>
      </c>
      <c r="R8" s="22">
        <f>Annahmen!$B$12/(1-Annahmen!$B$15*(1-R6))*((Annahmen!$B$21+R7*(Annahmen!$B$30-Annahmen!$B$21))+(Annahmen!$B$25+R7*(Annahmen!$B$34-Annahmen!$B$25))+(Annahmen!$B$29+R7*(Annahmen!$B$38-Annahmen!$B$29)))+Annahmen!$B$13/(1-Annahmen!$B$15*(1-R6))*((Annahmen!$B$22+R7*(Annahmen!$B$31-Annahmen!$B$22))+(Annahmen!$B$26+R7*(Annahmen!$B$35-Annahmen!$B$26))+(Annahmen!$B$29+R7*(Annahmen!$B$38-Annahmen!$B$29)))+Annahmen!$B$14/(1-Annahmen!$B$15*(1-R6))*((Annahmen!$B$23+R7*(Annahmen!$B$32-Annahmen!$B$23))+(Annahmen!$B$27+R7*(Annahmen!$B$36-Annahmen!$B$27))+(Annahmen!$B$29+R7*(Annahmen!$B$38-Annahmen!$B$29)))+Annahmen!$B$15*R6*((Annahmen!$B$24+R7*(Annahmen!$B$33-Annahmen!$B$24))+(Annahmen!$B$28+R7*(Annahmen!$B$37-Annahmen!$B$28))+(Annahmen!$B$29+R7*(Annahmen!$B$38-Annahmen!$B$29)))</f>
        <v/>
      </c>
      <c r="S8" s="22">
        <f>Annahmen!$B$12/(1-Annahmen!$B$15*(1-S6))*((Annahmen!$B$21+S7*(Annahmen!$B$30-Annahmen!$B$21))+(Annahmen!$B$25+S7*(Annahmen!$B$34-Annahmen!$B$25))+(Annahmen!$B$29+S7*(Annahmen!$B$38-Annahmen!$B$29)))+Annahmen!$B$13/(1-Annahmen!$B$15*(1-S6))*((Annahmen!$B$22+S7*(Annahmen!$B$31-Annahmen!$B$22))+(Annahmen!$B$26+S7*(Annahmen!$B$35-Annahmen!$B$26))+(Annahmen!$B$29+S7*(Annahmen!$B$38-Annahmen!$B$29)))+Annahmen!$B$14/(1-Annahmen!$B$15*(1-S6))*((Annahmen!$B$23+S7*(Annahmen!$B$32-Annahmen!$B$23))+(Annahmen!$B$27+S7*(Annahmen!$B$36-Annahmen!$B$27))+(Annahmen!$B$29+S7*(Annahmen!$B$38-Annahmen!$B$29)))+Annahmen!$B$15*S6*((Annahmen!$B$24+S7*(Annahmen!$B$33-Annahmen!$B$24))+(Annahmen!$B$28+S7*(Annahmen!$B$37-Annahmen!$B$28))+(Annahmen!$B$29+S7*(Annahmen!$B$38-Annahmen!$B$29)))</f>
        <v/>
      </c>
      <c r="T8" s="22">
        <f>Annahmen!$B$12/(1-Annahmen!$B$15*(1-T6))*((Annahmen!$B$21+T7*(Annahmen!$B$30-Annahmen!$B$21))+(Annahmen!$B$25+T7*(Annahmen!$B$34-Annahmen!$B$25))+(Annahmen!$B$29+T7*(Annahmen!$B$38-Annahmen!$B$29)))+Annahmen!$B$13/(1-Annahmen!$B$15*(1-T6))*((Annahmen!$B$22+T7*(Annahmen!$B$31-Annahmen!$B$22))+(Annahmen!$B$26+T7*(Annahmen!$B$35-Annahmen!$B$26))+(Annahmen!$B$29+T7*(Annahmen!$B$38-Annahmen!$B$29)))+Annahmen!$B$14/(1-Annahmen!$B$15*(1-T6))*((Annahmen!$B$23+T7*(Annahmen!$B$32-Annahmen!$B$23))+(Annahmen!$B$27+T7*(Annahmen!$B$36-Annahmen!$B$27))+(Annahmen!$B$29+T7*(Annahmen!$B$38-Annahmen!$B$29)))+Annahmen!$B$15*T6*((Annahmen!$B$24+T7*(Annahmen!$B$33-Annahmen!$B$24))+(Annahmen!$B$28+T7*(Annahmen!$B$37-Annahmen!$B$28))+(Annahmen!$B$29+T7*(Annahmen!$B$38-Annahmen!$B$29)))</f>
        <v/>
      </c>
      <c r="U8" s="22">
        <f>Annahmen!$B$12/(1-Annahmen!$B$15*(1-U6))*((Annahmen!$B$21+U7*(Annahmen!$B$30-Annahmen!$B$21))+(Annahmen!$B$25+U7*(Annahmen!$B$34-Annahmen!$B$25))+(Annahmen!$B$29+U7*(Annahmen!$B$38-Annahmen!$B$29)))+Annahmen!$B$13/(1-Annahmen!$B$15*(1-U6))*((Annahmen!$B$22+U7*(Annahmen!$B$31-Annahmen!$B$22))+(Annahmen!$B$26+U7*(Annahmen!$B$35-Annahmen!$B$26))+(Annahmen!$B$29+U7*(Annahmen!$B$38-Annahmen!$B$29)))+Annahmen!$B$14/(1-Annahmen!$B$15*(1-U6))*((Annahmen!$B$23+U7*(Annahmen!$B$32-Annahmen!$B$23))+(Annahmen!$B$27+U7*(Annahmen!$B$36-Annahmen!$B$27))+(Annahmen!$B$29+U7*(Annahmen!$B$38-Annahmen!$B$29)))+Annahmen!$B$15*U6*((Annahmen!$B$24+U7*(Annahmen!$B$33-Annahmen!$B$24))+(Annahmen!$B$28+U7*(Annahmen!$B$37-Annahmen!$B$28))+(Annahmen!$B$29+U7*(Annahmen!$B$38-Annahmen!$B$29)))</f>
        <v/>
      </c>
      <c r="V8" s="22">
        <f>Annahmen!$B$12/(1-Annahmen!$B$15*(1-V6))*((Annahmen!$B$21+V7*(Annahmen!$B$30-Annahmen!$B$21))+(Annahmen!$B$25+V7*(Annahmen!$B$34-Annahmen!$B$25))+(Annahmen!$B$29+V7*(Annahmen!$B$38-Annahmen!$B$29)))+Annahmen!$B$13/(1-Annahmen!$B$15*(1-V6))*((Annahmen!$B$22+V7*(Annahmen!$B$31-Annahmen!$B$22))+(Annahmen!$B$26+V7*(Annahmen!$B$35-Annahmen!$B$26))+(Annahmen!$B$29+V7*(Annahmen!$B$38-Annahmen!$B$29)))+Annahmen!$B$14/(1-Annahmen!$B$15*(1-V6))*((Annahmen!$B$23+V7*(Annahmen!$B$32-Annahmen!$B$23))+(Annahmen!$B$27+V7*(Annahmen!$B$36-Annahmen!$B$27))+(Annahmen!$B$29+V7*(Annahmen!$B$38-Annahmen!$B$29)))+Annahmen!$B$15*V6*((Annahmen!$B$24+V7*(Annahmen!$B$33-Annahmen!$B$24))+(Annahmen!$B$28+V7*(Annahmen!$B$37-Annahmen!$B$28))+(Annahmen!$B$29+V7*(Annahmen!$B$38-Annahmen!$B$29)))</f>
        <v/>
      </c>
      <c r="W8" s="22">
        <f>Annahmen!$B$12/(1-Annahmen!$B$15*(1-W6))*((Annahmen!$B$21+W7*(Annahmen!$B$30-Annahmen!$B$21))+(Annahmen!$B$25+W7*(Annahmen!$B$34-Annahmen!$B$25))+(Annahmen!$B$29+W7*(Annahmen!$B$38-Annahmen!$B$29)))+Annahmen!$B$13/(1-Annahmen!$B$15*(1-W6))*((Annahmen!$B$22+W7*(Annahmen!$B$31-Annahmen!$B$22))+(Annahmen!$B$26+W7*(Annahmen!$B$35-Annahmen!$B$26))+(Annahmen!$B$29+W7*(Annahmen!$B$38-Annahmen!$B$29)))+Annahmen!$B$14/(1-Annahmen!$B$15*(1-W6))*((Annahmen!$B$23+W7*(Annahmen!$B$32-Annahmen!$B$23))+(Annahmen!$B$27+W7*(Annahmen!$B$36-Annahmen!$B$27))+(Annahmen!$B$29+W7*(Annahmen!$B$38-Annahmen!$B$29)))+Annahmen!$B$15*W6*((Annahmen!$B$24+W7*(Annahmen!$B$33-Annahmen!$B$24))+(Annahmen!$B$28+W7*(Annahmen!$B$37-Annahmen!$B$28))+(Annahmen!$B$29+W7*(Annahmen!$B$38-Annahmen!$B$29)))</f>
        <v/>
      </c>
      <c r="X8" s="22">
        <f>Annahmen!$B$12/(1-Annahmen!$B$15*(1-X6))*((Annahmen!$B$21+X7*(Annahmen!$B$30-Annahmen!$B$21))+(Annahmen!$B$25+X7*(Annahmen!$B$34-Annahmen!$B$25))+(Annahmen!$B$29+X7*(Annahmen!$B$38-Annahmen!$B$29)))+Annahmen!$B$13/(1-Annahmen!$B$15*(1-X6))*((Annahmen!$B$22+X7*(Annahmen!$B$31-Annahmen!$B$22))+(Annahmen!$B$26+X7*(Annahmen!$B$35-Annahmen!$B$26))+(Annahmen!$B$29+X7*(Annahmen!$B$38-Annahmen!$B$29)))+Annahmen!$B$14/(1-Annahmen!$B$15*(1-X6))*((Annahmen!$B$23+X7*(Annahmen!$B$32-Annahmen!$B$23))+(Annahmen!$B$27+X7*(Annahmen!$B$36-Annahmen!$B$27))+(Annahmen!$B$29+X7*(Annahmen!$B$38-Annahmen!$B$29)))+Annahmen!$B$15*X6*((Annahmen!$B$24+X7*(Annahmen!$B$33-Annahmen!$B$24))+(Annahmen!$B$28+X7*(Annahmen!$B$37-Annahmen!$B$28))+(Annahmen!$B$29+X7*(Annahmen!$B$38-Annahmen!$B$29)))</f>
        <v/>
      </c>
      <c r="Y8" s="22">
        <f>Annahmen!$B$12/(1-Annahmen!$B$15*(1-Y6))*((Annahmen!$B$21+Y7*(Annahmen!$B$30-Annahmen!$B$21))+(Annahmen!$B$25+Y7*(Annahmen!$B$34-Annahmen!$B$25))+(Annahmen!$B$29+Y7*(Annahmen!$B$38-Annahmen!$B$29)))+Annahmen!$B$13/(1-Annahmen!$B$15*(1-Y6))*((Annahmen!$B$22+Y7*(Annahmen!$B$31-Annahmen!$B$22))+(Annahmen!$B$26+Y7*(Annahmen!$B$35-Annahmen!$B$26))+(Annahmen!$B$29+Y7*(Annahmen!$B$38-Annahmen!$B$29)))+Annahmen!$B$14/(1-Annahmen!$B$15*(1-Y6))*((Annahmen!$B$23+Y7*(Annahmen!$B$32-Annahmen!$B$23))+(Annahmen!$B$27+Y7*(Annahmen!$B$36-Annahmen!$B$27))+(Annahmen!$B$29+Y7*(Annahmen!$B$38-Annahmen!$B$29)))+Annahmen!$B$15*Y6*((Annahmen!$B$24+Y7*(Annahmen!$B$33-Annahmen!$B$24))+(Annahmen!$B$28+Y7*(Annahmen!$B$37-Annahmen!$B$28))+(Annahmen!$B$29+Y7*(Annahmen!$B$38-Annahmen!$B$29)))</f>
        <v/>
      </c>
    </row>
    <row r="9">
      <c r="A9" s="5" t="inlineStr">
        <is>
          <t>Laufende Stunden (Bestand)</t>
        </is>
      </c>
      <c r="B9" s="22">
        <f>0*(Annahmen!$B$25+B7*(Annahmen!$B$34-Annahmen!$B$25))+0*(Annahmen!$B$26+B7*(Annahmen!$B$35-Annahmen!$B$26))+0*(Annahmen!$B$27+B7*(Annahmen!$B$36-Annahmen!$B$27))+0*(Annahmen!$B$28+B7*(Annahmen!$B$37-Annahmen!$B$28))</f>
        <v/>
      </c>
      <c r="C9" s="22">
        <f>B14*(Annahmen!$B$25+C7*(Annahmen!$B$34-Annahmen!$B$25))+B15*(Annahmen!$B$26+C7*(Annahmen!$B$35-Annahmen!$B$26))+B16*(Annahmen!$B$27+C7*(Annahmen!$B$36-Annahmen!$B$27))+B17*(Annahmen!$B$28+C7*(Annahmen!$B$37-Annahmen!$B$28))</f>
        <v/>
      </c>
      <c r="D9" s="22">
        <f>C14*(Annahmen!$B$25+D7*(Annahmen!$B$34-Annahmen!$B$25))+C15*(Annahmen!$B$26+D7*(Annahmen!$B$35-Annahmen!$B$26))+C16*(Annahmen!$B$27+D7*(Annahmen!$B$36-Annahmen!$B$27))+C17*(Annahmen!$B$28+D7*(Annahmen!$B$37-Annahmen!$B$28))</f>
        <v/>
      </c>
      <c r="E9" s="22">
        <f>D14*(Annahmen!$B$25+E7*(Annahmen!$B$34-Annahmen!$B$25))+D15*(Annahmen!$B$26+E7*(Annahmen!$B$35-Annahmen!$B$26))+D16*(Annahmen!$B$27+E7*(Annahmen!$B$36-Annahmen!$B$27))+D17*(Annahmen!$B$28+E7*(Annahmen!$B$37-Annahmen!$B$28))</f>
        <v/>
      </c>
      <c r="F9" s="22">
        <f>E14*(Annahmen!$B$25+F7*(Annahmen!$B$34-Annahmen!$B$25))+E15*(Annahmen!$B$26+F7*(Annahmen!$B$35-Annahmen!$B$26))+E16*(Annahmen!$B$27+F7*(Annahmen!$B$36-Annahmen!$B$27))+E17*(Annahmen!$B$28+F7*(Annahmen!$B$37-Annahmen!$B$28))</f>
        <v/>
      </c>
      <c r="G9" s="22">
        <f>F14*(Annahmen!$B$25+G7*(Annahmen!$B$34-Annahmen!$B$25))+F15*(Annahmen!$B$26+G7*(Annahmen!$B$35-Annahmen!$B$26))+F16*(Annahmen!$B$27+G7*(Annahmen!$B$36-Annahmen!$B$27))+F17*(Annahmen!$B$28+G7*(Annahmen!$B$37-Annahmen!$B$28))</f>
        <v/>
      </c>
      <c r="H9" s="22">
        <f>G14*(Annahmen!$B$25+H7*(Annahmen!$B$34-Annahmen!$B$25))+G15*(Annahmen!$B$26+H7*(Annahmen!$B$35-Annahmen!$B$26))+G16*(Annahmen!$B$27+H7*(Annahmen!$B$36-Annahmen!$B$27))+G17*(Annahmen!$B$28+H7*(Annahmen!$B$37-Annahmen!$B$28))</f>
        <v/>
      </c>
      <c r="I9" s="22">
        <f>H14*(Annahmen!$B$25+I7*(Annahmen!$B$34-Annahmen!$B$25))+H15*(Annahmen!$B$26+I7*(Annahmen!$B$35-Annahmen!$B$26))+H16*(Annahmen!$B$27+I7*(Annahmen!$B$36-Annahmen!$B$27))+H17*(Annahmen!$B$28+I7*(Annahmen!$B$37-Annahmen!$B$28))</f>
        <v/>
      </c>
      <c r="J9" s="22">
        <f>I14*(Annahmen!$B$25+J7*(Annahmen!$B$34-Annahmen!$B$25))+I15*(Annahmen!$B$26+J7*(Annahmen!$B$35-Annahmen!$B$26))+I16*(Annahmen!$B$27+J7*(Annahmen!$B$36-Annahmen!$B$27))+I17*(Annahmen!$B$28+J7*(Annahmen!$B$37-Annahmen!$B$28))</f>
        <v/>
      </c>
      <c r="K9" s="22">
        <f>J14*(Annahmen!$B$25+K7*(Annahmen!$B$34-Annahmen!$B$25))+J15*(Annahmen!$B$26+K7*(Annahmen!$B$35-Annahmen!$B$26))+J16*(Annahmen!$B$27+K7*(Annahmen!$B$36-Annahmen!$B$27))+J17*(Annahmen!$B$28+K7*(Annahmen!$B$37-Annahmen!$B$28))</f>
        <v/>
      </c>
      <c r="L9" s="22">
        <f>K14*(Annahmen!$B$25+L7*(Annahmen!$B$34-Annahmen!$B$25))+K15*(Annahmen!$B$26+L7*(Annahmen!$B$35-Annahmen!$B$26))+K16*(Annahmen!$B$27+L7*(Annahmen!$B$36-Annahmen!$B$27))+K17*(Annahmen!$B$28+L7*(Annahmen!$B$37-Annahmen!$B$28))</f>
        <v/>
      </c>
      <c r="M9" s="22">
        <f>L14*(Annahmen!$B$25+M7*(Annahmen!$B$34-Annahmen!$B$25))+L15*(Annahmen!$B$26+M7*(Annahmen!$B$35-Annahmen!$B$26))+L16*(Annahmen!$B$27+M7*(Annahmen!$B$36-Annahmen!$B$27))+L17*(Annahmen!$B$28+M7*(Annahmen!$B$37-Annahmen!$B$28))</f>
        <v/>
      </c>
      <c r="N9" s="22">
        <f>M14*(Annahmen!$B$25+N7*(Annahmen!$B$34-Annahmen!$B$25))+M15*(Annahmen!$B$26+N7*(Annahmen!$B$35-Annahmen!$B$26))+M16*(Annahmen!$B$27+N7*(Annahmen!$B$36-Annahmen!$B$27))+M17*(Annahmen!$B$28+N7*(Annahmen!$B$37-Annahmen!$B$28))</f>
        <v/>
      </c>
      <c r="O9" s="22">
        <f>N14*(Annahmen!$B$25+O7*(Annahmen!$B$34-Annahmen!$B$25))+N15*(Annahmen!$B$26+O7*(Annahmen!$B$35-Annahmen!$B$26))+N16*(Annahmen!$B$27+O7*(Annahmen!$B$36-Annahmen!$B$27))+N17*(Annahmen!$B$28+O7*(Annahmen!$B$37-Annahmen!$B$28))</f>
        <v/>
      </c>
      <c r="P9" s="22">
        <f>O14*(Annahmen!$B$25+P7*(Annahmen!$B$34-Annahmen!$B$25))+O15*(Annahmen!$B$26+P7*(Annahmen!$B$35-Annahmen!$B$26))+O16*(Annahmen!$B$27+P7*(Annahmen!$B$36-Annahmen!$B$27))+O17*(Annahmen!$B$28+P7*(Annahmen!$B$37-Annahmen!$B$28))</f>
        <v/>
      </c>
      <c r="Q9" s="22">
        <f>P14*(Annahmen!$B$25+Q7*(Annahmen!$B$34-Annahmen!$B$25))+P15*(Annahmen!$B$26+Q7*(Annahmen!$B$35-Annahmen!$B$26))+P16*(Annahmen!$B$27+Q7*(Annahmen!$B$36-Annahmen!$B$27))+P17*(Annahmen!$B$28+Q7*(Annahmen!$B$37-Annahmen!$B$28))</f>
        <v/>
      </c>
      <c r="R9" s="22">
        <f>Q14*(Annahmen!$B$25+R7*(Annahmen!$B$34-Annahmen!$B$25))+Q15*(Annahmen!$B$26+R7*(Annahmen!$B$35-Annahmen!$B$26))+Q16*(Annahmen!$B$27+R7*(Annahmen!$B$36-Annahmen!$B$27))+Q17*(Annahmen!$B$28+R7*(Annahmen!$B$37-Annahmen!$B$28))</f>
        <v/>
      </c>
      <c r="S9" s="22">
        <f>R14*(Annahmen!$B$25+S7*(Annahmen!$B$34-Annahmen!$B$25))+R15*(Annahmen!$B$26+S7*(Annahmen!$B$35-Annahmen!$B$26))+R16*(Annahmen!$B$27+S7*(Annahmen!$B$36-Annahmen!$B$27))+R17*(Annahmen!$B$28+S7*(Annahmen!$B$37-Annahmen!$B$28))</f>
        <v/>
      </c>
      <c r="T9" s="22">
        <f>S14*(Annahmen!$B$25+T7*(Annahmen!$B$34-Annahmen!$B$25))+S15*(Annahmen!$B$26+T7*(Annahmen!$B$35-Annahmen!$B$26))+S16*(Annahmen!$B$27+T7*(Annahmen!$B$36-Annahmen!$B$27))+S17*(Annahmen!$B$28+T7*(Annahmen!$B$37-Annahmen!$B$28))</f>
        <v/>
      </c>
      <c r="U9" s="22">
        <f>T14*(Annahmen!$B$25+U7*(Annahmen!$B$34-Annahmen!$B$25))+T15*(Annahmen!$B$26+U7*(Annahmen!$B$35-Annahmen!$B$26))+T16*(Annahmen!$B$27+U7*(Annahmen!$B$36-Annahmen!$B$27))+T17*(Annahmen!$B$28+U7*(Annahmen!$B$37-Annahmen!$B$28))</f>
        <v/>
      </c>
      <c r="V9" s="22">
        <f>U14*(Annahmen!$B$25+V7*(Annahmen!$B$34-Annahmen!$B$25))+U15*(Annahmen!$B$26+V7*(Annahmen!$B$35-Annahmen!$B$26))+U16*(Annahmen!$B$27+V7*(Annahmen!$B$36-Annahmen!$B$27))+U17*(Annahmen!$B$28+V7*(Annahmen!$B$37-Annahmen!$B$28))</f>
        <v/>
      </c>
      <c r="W9" s="22">
        <f>V14*(Annahmen!$B$25+W7*(Annahmen!$B$34-Annahmen!$B$25))+V15*(Annahmen!$B$26+W7*(Annahmen!$B$35-Annahmen!$B$26))+V16*(Annahmen!$B$27+W7*(Annahmen!$B$36-Annahmen!$B$27))+V17*(Annahmen!$B$28+W7*(Annahmen!$B$37-Annahmen!$B$28))</f>
        <v/>
      </c>
      <c r="X9" s="22">
        <f>W14*(Annahmen!$B$25+X7*(Annahmen!$B$34-Annahmen!$B$25))+W15*(Annahmen!$B$26+X7*(Annahmen!$B$35-Annahmen!$B$26))+W16*(Annahmen!$B$27+X7*(Annahmen!$B$36-Annahmen!$B$27))+W17*(Annahmen!$B$28+X7*(Annahmen!$B$37-Annahmen!$B$28))</f>
        <v/>
      </c>
      <c r="Y9" s="22">
        <f>X14*(Annahmen!$B$25+Y7*(Annahmen!$B$34-Annahmen!$B$25))+X15*(Annahmen!$B$26+Y7*(Annahmen!$B$35-Annahmen!$B$26))+X16*(Annahmen!$B$27+Y7*(Annahmen!$B$36-Annahmen!$B$27))+X17*(Annahmen!$B$28+Y7*(Annahmen!$B$37-Annahmen!$B$28))</f>
        <v/>
      </c>
    </row>
    <row r="10">
      <c r="A10" s="5" t="inlineStr">
        <is>
          <t>Möglich nach Stunden</t>
        </is>
      </c>
      <c r="B10" s="22">
        <f>MAX(0,(Annahmen!$B$41-B9)/B8)</f>
        <v/>
      </c>
      <c r="C10" s="22">
        <f>MAX(0,(Annahmen!$B$41-C9)/C8)</f>
        <v/>
      </c>
      <c r="D10" s="22">
        <f>MAX(0,(Annahmen!$B$41-D9)/D8)</f>
        <v/>
      </c>
      <c r="E10" s="22">
        <f>MAX(0,(Annahmen!$B$41-E9)/E8)</f>
        <v/>
      </c>
      <c r="F10" s="22">
        <f>MAX(0,(Annahmen!$B$41-F9)/F8)</f>
        <v/>
      </c>
      <c r="G10" s="22">
        <f>MAX(0,(Annahmen!$B$41-G9)/G8)</f>
        <v/>
      </c>
      <c r="H10" s="22">
        <f>MAX(0,(Annahmen!$B$41-H9)/H8)</f>
        <v/>
      </c>
      <c r="I10" s="22">
        <f>MAX(0,(Annahmen!$B$41-I9)/I8)</f>
        <v/>
      </c>
      <c r="J10" s="22">
        <f>MAX(0,(Annahmen!$B$41-J9)/J8)</f>
        <v/>
      </c>
      <c r="K10" s="22">
        <f>MAX(0,(Annahmen!$B$41-K9)/K8)</f>
        <v/>
      </c>
      <c r="L10" s="22">
        <f>MAX(0,(Annahmen!$B$41-L9)/L8)</f>
        <v/>
      </c>
      <c r="M10" s="22">
        <f>MAX(0,(Annahmen!$B$41-M9)/M8)</f>
        <v/>
      </c>
      <c r="N10" s="22">
        <f>MAX(0,(Annahmen!$B$41-N9)/N8)</f>
        <v/>
      </c>
      <c r="O10" s="22">
        <f>MAX(0,(Annahmen!$B$41-O9)/O8)</f>
        <v/>
      </c>
      <c r="P10" s="22">
        <f>MAX(0,(Annahmen!$B$41-P9)/P8)</f>
        <v/>
      </c>
      <c r="Q10" s="22">
        <f>MAX(0,(Annahmen!$B$41-Q9)/Q8)</f>
        <v/>
      </c>
      <c r="R10" s="22">
        <f>MAX(0,(Annahmen!$B$41-R9)/R8)</f>
        <v/>
      </c>
      <c r="S10" s="22">
        <f>MAX(0,(Annahmen!$B$41-S9)/S8)</f>
        <v/>
      </c>
      <c r="T10" s="22">
        <f>MAX(0,(Annahmen!$B$41-T9)/T8)</f>
        <v/>
      </c>
      <c r="U10" s="22">
        <f>MAX(0,(Annahmen!$B$41-U9)/U8)</f>
        <v/>
      </c>
      <c r="V10" s="22">
        <f>MAX(0,(Annahmen!$B$41-V9)/V8)</f>
        <v/>
      </c>
      <c r="W10" s="22">
        <f>MAX(0,(Annahmen!$B$41-W9)/W8)</f>
        <v/>
      </c>
      <c r="X10" s="22">
        <f>MAX(0,(Annahmen!$B$41-X9)/X8)</f>
        <v/>
      </c>
      <c r="Y10" s="22">
        <f>MAX(0,(Annahmen!$B$41-Y9)/Y8)</f>
        <v/>
      </c>
    </row>
    <row r="11">
      <c r="A11" s="7" t="inlineStr">
        <is>
          <t>Abschlüsse</t>
        </is>
      </c>
      <c r="B11" s="21">
        <f>MIN(B5,B10)</f>
        <v/>
      </c>
      <c r="C11" s="21">
        <f>MIN(C5,C10)</f>
        <v/>
      </c>
      <c r="D11" s="21">
        <f>MIN(D5,D10)</f>
        <v/>
      </c>
      <c r="E11" s="21">
        <f>MIN(E5,E10)</f>
        <v/>
      </c>
      <c r="F11" s="21">
        <f>MIN(F5,F10)</f>
        <v/>
      </c>
      <c r="G11" s="21">
        <f>MIN(G5,G10)</f>
        <v/>
      </c>
      <c r="H11" s="21">
        <f>MIN(H5,H10)</f>
        <v/>
      </c>
      <c r="I11" s="21">
        <f>MIN(I5,I10)</f>
        <v/>
      </c>
      <c r="J11" s="21">
        <f>MIN(J5,J10)</f>
        <v/>
      </c>
      <c r="K11" s="21">
        <f>MIN(K5,K10)</f>
        <v/>
      </c>
      <c r="L11" s="21">
        <f>MIN(L5,L10)</f>
        <v/>
      </c>
      <c r="M11" s="21">
        <f>MIN(M5,M10)</f>
        <v/>
      </c>
      <c r="N11" s="21">
        <f>MIN(N5,N10)</f>
        <v/>
      </c>
      <c r="O11" s="21">
        <f>MIN(O5,O10)</f>
        <v/>
      </c>
      <c r="P11" s="21">
        <f>MIN(P5,P10)</f>
        <v/>
      </c>
      <c r="Q11" s="21">
        <f>MIN(Q5,Q10)</f>
        <v/>
      </c>
      <c r="R11" s="21">
        <f>MIN(R5,R10)</f>
        <v/>
      </c>
      <c r="S11" s="21">
        <f>MIN(S5,S10)</f>
        <v/>
      </c>
      <c r="T11" s="21">
        <f>MIN(T5,T10)</f>
        <v/>
      </c>
      <c r="U11" s="21">
        <f>MIN(U5,U10)</f>
        <v/>
      </c>
      <c r="V11" s="21">
        <f>MIN(V5,V10)</f>
        <v/>
      </c>
      <c r="W11" s="21">
        <f>MIN(W5,W10)</f>
        <v/>
      </c>
      <c r="X11" s="21">
        <f>MIN(X5,X10)</f>
        <v/>
      </c>
      <c r="Y11" s="21">
        <f>MIN(Y5,Y10)</f>
        <v/>
      </c>
    </row>
    <row r="12">
      <c r="A12" s="5" t="inlineStr">
        <is>
          <t>Abschlüsse kumuliert</t>
        </is>
      </c>
      <c r="B12" s="22">
        <f>0+B11</f>
        <v/>
      </c>
      <c r="C12" s="22">
        <f>B12+C11</f>
        <v/>
      </c>
      <c r="D12" s="22">
        <f>C12+D11</f>
        <v/>
      </c>
      <c r="E12" s="22">
        <f>D12+E11</f>
        <v/>
      </c>
      <c r="F12" s="22">
        <f>E12+F11</f>
        <v/>
      </c>
      <c r="G12" s="22">
        <f>F12+G11</f>
        <v/>
      </c>
      <c r="H12" s="22">
        <f>G12+H11</f>
        <v/>
      </c>
      <c r="I12" s="22">
        <f>H12+I11</f>
        <v/>
      </c>
      <c r="J12" s="22">
        <f>I12+J11</f>
        <v/>
      </c>
      <c r="K12" s="22">
        <f>J12+K11</f>
        <v/>
      </c>
      <c r="L12" s="22">
        <f>K12+L11</f>
        <v/>
      </c>
      <c r="M12" s="22">
        <f>L12+M11</f>
        <v/>
      </c>
      <c r="N12" s="22">
        <f>M12+N11</f>
        <v/>
      </c>
      <c r="O12" s="22">
        <f>N12+O11</f>
        <v/>
      </c>
      <c r="P12" s="22">
        <f>O12+P11</f>
        <v/>
      </c>
      <c r="Q12" s="22">
        <f>P12+Q11</f>
        <v/>
      </c>
      <c r="R12" s="22">
        <f>Q12+R11</f>
        <v/>
      </c>
      <c r="S12" s="22">
        <f>R12+S11</f>
        <v/>
      </c>
      <c r="T12" s="22">
        <f>S12+T11</f>
        <v/>
      </c>
      <c r="U12" s="22">
        <f>T12+U11</f>
        <v/>
      </c>
      <c r="V12" s="22">
        <f>U12+V11</f>
        <v/>
      </c>
      <c r="W12" s="22">
        <f>V12+W11</f>
        <v/>
      </c>
      <c r="X12" s="22">
        <f>W12+X11</f>
        <v/>
      </c>
      <c r="Y12" s="22">
        <f>X12+Y11</f>
        <v/>
      </c>
    </row>
    <row r="13">
      <c r="A13" s="24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</row>
    <row r="14">
      <c r="A14" s="5" t="inlineStr">
        <is>
          <t>Aktive Pflege-Kunden</t>
        </is>
      </c>
      <c r="B14" s="22">
        <f>0*(1-Annahmen!$B$17)+B11*Annahmen!$B$12/(1-Annahmen!$B$15*(1-B6))</f>
        <v/>
      </c>
      <c r="C14" s="22">
        <f>B14*(1-Annahmen!$B$17)+C11*Annahmen!$B$12/(1-Annahmen!$B$15*(1-C6))</f>
        <v/>
      </c>
      <c r="D14" s="22">
        <f>C14*(1-Annahmen!$B$17)+D11*Annahmen!$B$12/(1-Annahmen!$B$15*(1-D6))</f>
        <v/>
      </c>
      <c r="E14" s="22">
        <f>D14*(1-Annahmen!$B$17)+E11*Annahmen!$B$12/(1-Annahmen!$B$15*(1-E6))</f>
        <v/>
      </c>
      <c r="F14" s="22">
        <f>E14*(1-Annahmen!$B$17)+F11*Annahmen!$B$12/(1-Annahmen!$B$15*(1-F6))</f>
        <v/>
      </c>
      <c r="G14" s="22">
        <f>F14*(1-Annahmen!$B$17)+G11*Annahmen!$B$12/(1-Annahmen!$B$15*(1-G6))</f>
        <v/>
      </c>
      <c r="H14" s="22">
        <f>G14*(1-Annahmen!$B$17)+H11*Annahmen!$B$12/(1-Annahmen!$B$15*(1-H6))</f>
        <v/>
      </c>
      <c r="I14" s="22">
        <f>H14*(1-Annahmen!$B$17)+I11*Annahmen!$B$12/(1-Annahmen!$B$15*(1-I6))</f>
        <v/>
      </c>
      <c r="J14" s="22">
        <f>I14*(1-Annahmen!$B$17)+J11*Annahmen!$B$12/(1-Annahmen!$B$15*(1-J6))</f>
        <v/>
      </c>
      <c r="K14" s="22">
        <f>J14*(1-Annahmen!$B$17)+K11*Annahmen!$B$12/(1-Annahmen!$B$15*(1-K6))</f>
        <v/>
      </c>
      <c r="L14" s="22">
        <f>K14*(1-Annahmen!$B$17)+L11*Annahmen!$B$12/(1-Annahmen!$B$15*(1-L6))</f>
        <v/>
      </c>
      <c r="M14" s="22">
        <f>L14*(1-Annahmen!$B$17)+M11*Annahmen!$B$12/(1-Annahmen!$B$15*(1-M6))</f>
        <v/>
      </c>
      <c r="N14" s="22">
        <f>M14*(1-Annahmen!$B$17)+N11*Annahmen!$B$12/(1-Annahmen!$B$15*(1-N6))</f>
        <v/>
      </c>
      <c r="O14" s="22">
        <f>N14*(1-Annahmen!$B$17)+O11*Annahmen!$B$12/(1-Annahmen!$B$15*(1-O6))</f>
        <v/>
      </c>
      <c r="P14" s="22">
        <f>O14*(1-Annahmen!$B$17)+P11*Annahmen!$B$12/(1-Annahmen!$B$15*(1-P6))</f>
        <v/>
      </c>
      <c r="Q14" s="22">
        <f>P14*(1-Annahmen!$B$17)+Q11*Annahmen!$B$12/(1-Annahmen!$B$15*(1-Q6))</f>
        <v/>
      </c>
      <c r="R14" s="22">
        <f>Q14*(1-Annahmen!$B$17)+R11*Annahmen!$B$12/(1-Annahmen!$B$15*(1-R6))</f>
        <v/>
      </c>
      <c r="S14" s="22">
        <f>R14*(1-Annahmen!$B$17)+S11*Annahmen!$B$12/(1-Annahmen!$B$15*(1-S6))</f>
        <v/>
      </c>
      <c r="T14" s="22">
        <f>S14*(1-Annahmen!$B$17)+T11*Annahmen!$B$12/(1-Annahmen!$B$15*(1-T6))</f>
        <v/>
      </c>
      <c r="U14" s="22">
        <f>T14*(1-Annahmen!$B$17)+U11*Annahmen!$B$12/(1-Annahmen!$B$15*(1-U6))</f>
        <v/>
      </c>
      <c r="V14" s="22">
        <f>U14*(1-Annahmen!$B$17)+V11*Annahmen!$B$12/(1-Annahmen!$B$15*(1-V6))</f>
        <v/>
      </c>
      <c r="W14" s="22">
        <f>V14*(1-Annahmen!$B$17)+W11*Annahmen!$B$12/(1-Annahmen!$B$15*(1-W6))</f>
        <v/>
      </c>
      <c r="X14" s="22">
        <f>W14*(1-Annahmen!$B$17)+X11*Annahmen!$B$12/(1-Annahmen!$B$15*(1-X6))</f>
        <v/>
      </c>
      <c r="Y14" s="22">
        <f>X14*(1-Annahmen!$B$17)+Y11*Annahmen!$B$12/(1-Annahmen!$B$15*(1-Y6))</f>
        <v/>
      </c>
    </row>
    <row r="15">
      <c r="A15" s="5" t="inlineStr">
        <is>
          <t>Aktive Programm-Kunden</t>
        </is>
      </c>
      <c r="B15" s="22">
        <f>0*(1-Annahmen!$B$18)+B11*Annahmen!$B$13/(1-Annahmen!$B$15*(1-B6))</f>
        <v/>
      </c>
      <c r="C15" s="22">
        <f>B15*(1-Annahmen!$B$18)+C11*Annahmen!$B$13/(1-Annahmen!$B$15*(1-C6))</f>
        <v/>
      </c>
      <c r="D15" s="22">
        <f>C15*(1-Annahmen!$B$18)+D11*Annahmen!$B$13/(1-Annahmen!$B$15*(1-D6))</f>
        <v/>
      </c>
      <c r="E15" s="22">
        <f>D15*(1-Annahmen!$B$18)+E11*Annahmen!$B$13/(1-Annahmen!$B$15*(1-E6))</f>
        <v/>
      </c>
      <c r="F15" s="22">
        <f>E15*(1-Annahmen!$B$18)+F11*Annahmen!$B$13/(1-Annahmen!$B$15*(1-F6))</f>
        <v/>
      </c>
      <c r="G15" s="22">
        <f>F15*(1-Annahmen!$B$18)+G11*Annahmen!$B$13/(1-Annahmen!$B$15*(1-G6))</f>
        <v/>
      </c>
      <c r="H15" s="22">
        <f>G15*(1-Annahmen!$B$18)+H11*Annahmen!$B$13/(1-Annahmen!$B$15*(1-H6))</f>
        <v/>
      </c>
      <c r="I15" s="22">
        <f>H15*(1-Annahmen!$B$18)+I11*Annahmen!$B$13/(1-Annahmen!$B$15*(1-I6))</f>
        <v/>
      </c>
      <c r="J15" s="22">
        <f>I15*(1-Annahmen!$B$18)+J11*Annahmen!$B$13/(1-Annahmen!$B$15*(1-J6))</f>
        <v/>
      </c>
      <c r="K15" s="22">
        <f>J15*(1-Annahmen!$B$18)+K11*Annahmen!$B$13/(1-Annahmen!$B$15*(1-K6))</f>
        <v/>
      </c>
      <c r="L15" s="22">
        <f>K15*(1-Annahmen!$B$18)+L11*Annahmen!$B$13/(1-Annahmen!$B$15*(1-L6))</f>
        <v/>
      </c>
      <c r="M15" s="22">
        <f>L15*(1-Annahmen!$B$18)+M11*Annahmen!$B$13/(1-Annahmen!$B$15*(1-M6))</f>
        <v/>
      </c>
      <c r="N15" s="22">
        <f>M15*(1-Annahmen!$B$18)+N11*Annahmen!$B$13/(1-Annahmen!$B$15*(1-N6))</f>
        <v/>
      </c>
      <c r="O15" s="22">
        <f>N15*(1-Annahmen!$B$18)+O11*Annahmen!$B$13/(1-Annahmen!$B$15*(1-O6))</f>
        <v/>
      </c>
      <c r="P15" s="22">
        <f>O15*(1-Annahmen!$B$18)+P11*Annahmen!$B$13/(1-Annahmen!$B$15*(1-P6))</f>
        <v/>
      </c>
      <c r="Q15" s="22">
        <f>P15*(1-Annahmen!$B$18)+Q11*Annahmen!$B$13/(1-Annahmen!$B$15*(1-Q6))</f>
        <v/>
      </c>
      <c r="R15" s="22">
        <f>Q15*(1-Annahmen!$B$18)+R11*Annahmen!$B$13/(1-Annahmen!$B$15*(1-R6))</f>
        <v/>
      </c>
      <c r="S15" s="22">
        <f>R15*(1-Annahmen!$B$18)+S11*Annahmen!$B$13/(1-Annahmen!$B$15*(1-S6))</f>
        <v/>
      </c>
      <c r="T15" s="22">
        <f>S15*(1-Annahmen!$B$18)+T11*Annahmen!$B$13/(1-Annahmen!$B$15*(1-T6))</f>
        <v/>
      </c>
      <c r="U15" s="22">
        <f>T15*(1-Annahmen!$B$18)+U11*Annahmen!$B$13/(1-Annahmen!$B$15*(1-U6))</f>
        <v/>
      </c>
      <c r="V15" s="22">
        <f>U15*(1-Annahmen!$B$18)+V11*Annahmen!$B$13/(1-Annahmen!$B$15*(1-V6))</f>
        <v/>
      </c>
      <c r="W15" s="22">
        <f>V15*(1-Annahmen!$B$18)+W11*Annahmen!$B$13/(1-Annahmen!$B$15*(1-W6))</f>
        <v/>
      </c>
      <c r="X15" s="22">
        <f>W15*(1-Annahmen!$B$18)+X11*Annahmen!$B$13/(1-Annahmen!$B$15*(1-X6))</f>
        <v/>
      </c>
      <c r="Y15" s="22">
        <f>X15*(1-Annahmen!$B$18)+Y11*Annahmen!$B$13/(1-Annahmen!$B$15*(1-Y6))</f>
        <v/>
      </c>
    </row>
    <row r="16">
      <c r="A16" s="5" t="inlineStr">
        <is>
          <t>Aktive SEO-Kunden</t>
        </is>
      </c>
      <c r="B16" s="22">
        <f>0*(1-Annahmen!$B$19)+B11*Annahmen!$B$14/(1-Annahmen!$B$15*(1-B6))</f>
        <v/>
      </c>
      <c r="C16" s="22">
        <f>B16*(1-Annahmen!$B$19)+C11*Annahmen!$B$14/(1-Annahmen!$B$15*(1-C6))</f>
        <v/>
      </c>
      <c r="D16" s="22">
        <f>C16*(1-Annahmen!$B$19)+D11*Annahmen!$B$14/(1-Annahmen!$B$15*(1-D6))</f>
        <v/>
      </c>
      <c r="E16" s="22">
        <f>D16*(1-Annahmen!$B$19)+E11*Annahmen!$B$14/(1-Annahmen!$B$15*(1-E6))</f>
        <v/>
      </c>
      <c r="F16" s="22">
        <f>E16*(1-Annahmen!$B$19)+F11*Annahmen!$B$14/(1-Annahmen!$B$15*(1-F6))</f>
        <v/>
      </c>
      <c r="G16" s="22">
        <f>F16*(1-Annahmen!$B$19)+G11*Annahmen!$B$14/(1-Annahmen!$B$15*(1-G6))</f>
        <v/>
      </c>
      <c r="H16" s="22">
        <f>G16*(1-Annahmen!$B$19)+H11*Annahmen!$B$14/(1-Annahmen!$B$15*(1-H6))</f>
        <v/>
      </c>
      <c r="I16" s="22">
        <f>H16*(1-Annahmen!$B$19)+I11*Annahmen!$B$14/(1-Annahmen!$B$15*(1-I6))</f>
        <v/>
      </c>
      <c r="J16" s="22">
        <f>I16*(1-Annahmen!$B$19)+J11*Annahmen!$B$14/(1-Annahmen!$B$15*(1-J6))</f>
        <v/>
      </c>
      <c r="K16" s="22">
        <f>J16*(1-Annahmen!$B$19)+K11*Annahmen!$B$14/(1-Annahmen!$B$15*(1-K6))</f>
        <v/>
      </c>
      <c r="L16" s="22">
        <f>K16*(1-Annahmen!$B$19)+L11*Annahmen!$B$14/(1-Annahmen!$B$15*(1-L6))</f>
        <v/>
      </c>
      <c r="M16" s="22">
        <f>L16*(1-Annahmen!$B$19)+M11*Annahmen!$B$14/(1-Annahmen!$B$15*(1-M6))</f>
        <v/>
      </c>
      <c r="N16" s="22">
        <f>M16*(1-Annahmen!$B$19)+N11*Annahmen!$B$14/(1-Annahmen!$B$15*(1-N6))</f>
        <v/>
      </c>
      <c r="O16" s="22">
        <f>N16*(1-Annahmen!$B$19)+O11*Annahmen!$B$14/(1-Annahmen!$B$15*(1-O6))</f>
        <v/>
      </c>
      <c r="P16" s="22">
        <f>O16*(1-Annahmen!$B$19)+P11*Annahmen!$B$14/(1-Annahmen!$B$15*(1-P6))</f>
        <v/>
      </c>
      <c r="Q16" s="22">
        <f>P16*(1-Annahmen!$B$19)+Q11*Annahmen!$B$14/(1-Annahmen!$B$15*(1-Q6))</f>
        <v/>
      </c>
      <c r="R16" s="22">
        <f>Q16*(1-Annahmen!$B$19)+R11*Annahmen!$B$14/(1-Annahmen!$B$15*(1-R6))</f>
        <v/>
      </c>
      <c r="S16" s="22">
        <f>R16*(1-Annahmen!$B$19)+S11*Annahmen!$B$14/(1-Annahmen!$B$15*(1-S6))</f>
        <v/>
      </c>
      <c r="T16" s="22">
        <f>S16*(1-Annahmen!$B$19)+T11*Annahmen!$B$14/(1-Annahmen!$B$15*(1-T6))</f>
        <v/>
      </c>
      <c r="U16" s="22">
        <f>T16*(1-Annahmen!$B$19)+U11*Annahmen!$B$14/(1-Annahmen!$B$15*(1-U6))</f>
        <v/>
      </c>
      <c r="V16" s="22">
        <f>U16*(1-Annahmen!$B$19)+V11*Annahmen!$B$14/(1-Annahmen!$B$15*(1-V6))</f>
        <v/>
      </c>
      <c r="W16" s="22">
        <f>V16*(1-Annahmen!$B$19)+W11*Annahmen!$B$14/(1-Annahmen!$B$15*(1-W6))</f>
        <v/>
      </c>
      <c r="X16" s="22">
        <f>W16*(1-Annahmen!$B$19)+X11*Annahmen!$B$14/(1-Annahmen!$B$15*(1-X6))</f>
        <v/>
      </c>
      <c r="Y16" s="22">
        <f>X16*(1-Annahmen!$B$19)+Y11*Annahmen!$B$14/(1-Annahmen!$B$15*(1-Y6))</f>
        <v/>
      </c>
    </row>
    <row r="17">
      <c r="A17" s="5" t="inlineStr">
        <is>
          <t>Aktive Recruiting-Kunden</t>
        </is>
      </c>
      <c r="B17" s="22">
        <f>0*(1-Annahmen!$B$20)+B11*Annahmen!$B$15*B6</f>
        <v/>
      </c>
      <c r="C17" s="22">
        <f>B17*(1-Annahmen!$B$20)+C11*Annahmen!$B$15*C6</f>
        <v/>
      </c>
      <c r="D17" s="22">
        <f>C17*(1-Annahmen!$B$20)+D11*Annahmen!$B$15*D6</f>
        <v/>
      </c>
      <c r="E17" s="22">
        <f>D17*(1-Annahmen!$B$20)+E11*Annahmen!$B$15*E6</f>
        <v/>
      </c>
      <c r="F17" s="22">
        <f>E17*(1-Annahmen!$B$20)+F11*Annahmen!$B$15*F6</f>
        <v/>
      </c>
      <c r="G17" s="22">
        <f>F17*(1-Annahmen!$B$20)+G11*Annahmen!$B$15*G6</f>
        <v/>
      </c>
      <c r="H17" s="22">
        <f>G17*(1-Annahmen!$B$20)+H11*Annahmen!$B$15*H6</f>
        <v/>
      </c>
      <c r="I17" s="22">
        <f>H17*(1-Annahmen!$B$20)+I11*Annahmen!$B$15*I6</f>
        <v/>
      </c>
      <c r="J17" s="22">
        <f>I17*(1-Annahmen!$B$20)+J11*Annahmen!$B$15*J6</f>
        <v/>
      </c>
      <c r="K17" s="22">
        <f>J17*(1-Annahmen!$B$20)+K11*Annahmen!$B$15*K6</f>
        <v/>
      </c>
      <c r="L17" s="22">
        <f>K17*(1-Annahmen!$B$20)+L11*Annahmen!$B$15*L6</f>
        <v/>
      </c>
      <c r="M17" s="22">
        <f>L17*(1-Annahmen!$B$20)+M11*Annahmen!$B$15*M6</f>
        <v/>
      </c>
      <c r="N17" s="22">
        <f>M17*(1-Annahmen!$B$20)+N11*Annahmen!$B$15*N6</f>
        <v/>
      </c>
      <c r="O17" s="22">
        <f>N17*(1-Annahmen!$B$20)+O11*Annahmen!$B$15*O6</f>
        <v/>
      </c>
      <c r="P17" s="22">
        <f>O17*(1-Annahmen!$B$20)+P11*Annahmen!$B$15*P6</f>
        <v/>
      </c>
      <c r="Q17" s="22">
        <f>P17*(1-Annahmen!$B$20)+Q11*Annahmen!$B$15*Q6</f>
        <v/>
      </c>
      <c r="R17" s="22">
        <f>Q17*(1-Annahmen!$B$20)+R11*Annahmen!$B$15*R6</f>
        <v/>
      </c>
      <c r="S17" s="22">
        <f>R17*(1-Annahmen!$B$20)+S11*Annahmen!$B$15*S6</f>
        <v/>
      </c>
      <c r="T17" s="22">
        <f>S17*(1-Annahmen!$B$20)+T11*Annahmen!$B$15*T6</f>
        <v/>
      </c>
      <c r="U17" s="22">
        <f>T17*(1-Annahmen!$B$20)+U11*Annahmen!$B$15*U6</f>
        <v/>
      </c>
      <c r="V17" s="22">
        <f>U17*(1-Annahmen!$B$20)+V11*Annahmen!$B$15*V6</f>
        <v/>
      </c>
      <c r="W17" s="22">
        <f>V17*(1-Annahmen!$B$20)+W11*Annahmen!$B$15*W6</f>
        <v/>
      </c>
      <c r="X17" s="22">
        <f>W17*(1-Annahmen!$B$20)+X11*Annahmen!$B$15*X6</f>
        <v/>
      </c>
      <c r="Y17" s="22">
        <f>X17*(1-Annahmen!$B$20)+Y11*Annahmen!$B$15*Y6</f>
        <v/>
      </c>
    </row>
    <row r="18">
      <c r="A18" s="24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  <c r="T18" s="24" t="n"/>
      <c r="U18" s="24" t="n"/>
      <c r="V18" s="24" t="n"/>
      <c r="W18" s="24" t="n"/>
      <c r="X18" s="24" t="n"/>
      <c r="Y18" s="24" t="n"/>
    </row>
    <row r="19">
      <c r="A19" s="7" t="inlineStr">
        <is>
          <t>MRR</t>
        </is>
      </c>
      <c r="B19" s="25">
        <f>B14*Annahmen!$B$6+B15*Annahmen!$B$7+B16*Annahmen!$B$9+B17*Annahmen!$B$10</f>
        <v/>
      </c>
      <c r="C19" s="25">
        <f>C14*Annahmen!$B$6+C15*Annahmen!$B$7+C16*Annahmen!$B$9+C17*Annahmen!$B$10</f>
        <v/>
      </c>
      <c r="D19" s="25">
        <f>D14*Annahmen!$B$6+D15*Annahmen!$B$7+D16*Annahmen!$B$9+D17*Annahmen!$B$10</f>
        <v/>
      </c>
      <c r="E19" s="25">
        <f>E14*Annahmen!$B$6+E15*Annahmen!$B$7+E16*Annahmen!$B$9+E17*Annahmen!$B$10</f>
        <v/>
      </c>
      <c r="F19" s="25">
        <f>F14*Annahmen!$B$6+F15*Annahmen!$B$7+F16*Annahmen!$B$9+F17*Annahmen!$B$10</f>
        <v/>
      </c>
      <c r="G19" s="25">
        <f>G14*Annahmen!$B$6+G15*Annahmen!$B$7+G16*Annahmen!$B$9+G17*Annahmen!$B$10</f>
        <v/>
      </c>
      <c r="H19" s="25">
        <f>H14*Annahmen!$B$6+H15*Annahmen!$B$7+H16*Annahmen!$B$9+H17*Annahmen!$B$10</f>
        <v/>
      </c>
      <c r="I19" s="25">
        <f>I14*Annahmen!$B$6+I15*Annahmen!$B$7+I16*Annahmen!$B$9+I17*Annahmen!$B$10</f>
        <v/>
      </c>
      <c r="J19" s="25">
        <f>J14*Annahmen!$B$6+J15*Annahmen!$B$7+J16*Annahmen!$B$9+J17*Annahmen!$B$10</f>
        <v/>
      </c>
      <c r="K19" s="25">
        <f>K14*Annahmen!$B$6+K15*Annahmen!$B$7+K16*Annahmen!$B$9+K17*Annahmen!$B$10</f>
        <v/>
      </c>
      <c r="L19" s="25">
        <f>L14*Annahmen!$B$6+L15*Annahmen!$B$7+L16*Annahmen!$B$9+L17*Annahmen!$B$10</f>
        <v/>
      </c>
      <c r="M19" s="25">
        <f>M14*Annahmen!$B$6+M15*Annahmen!$B$7+M16*Annahmen!$B$9+M17*Annahmen!$B$10</f>
        <v/>
      </c>
      <c r="N19" s="25">
        <f>N14*Annahmen!$B$6+N15*Annahmen!$B$7+N16*Annahmen!$B$9+N17*Annahmen!$B$10</f>
        <v/>
      </c>
      <c r="O19" s="25">
        <f>O14*Annahmen!$B$6+O15*Annahmen!$B$7+O16*Annahmen!$B$9+O17*Annahmen!$B$10</f>
        <v/>
      </c>
      <c r="P19" s="25">
        <f>P14*Annahmen!$B$6+P15*Annahmen!$B$7+P16*Annahmen!$B$9+P17*Annahmen!$B$10</f>
        <v/>
      </c>
      <c r="Q19" s="25">
        <f>Q14*Annahmen!$B$6+Q15*Annahmen!$B$7+Q16*Annahmen!$B$9+Q17*Annahmen!$B$10</f>
        <v/>
      </c>
      <c r="R19" s="25">
        <f>R14*Annahmen!$B$6+R15*Annahmen!$B$7+R16*Annahmen!$B$9+R17*Annahmen!$B$10</f>
        <v/>
      </c>
      <c r="S19" s="25">
        <f>S14*Annahmen!$B$6+S15*Annahmen!$B$7+S16*Annahmen!$B$9+S17*Annahmen!$B$10</f>
        <v/>
      </c>
      <c r="T19" s="25">
        <f>T14*Annahmen!$B$6+T15*Annahmen!$B$7+T16*Annahmen!$B$9+T17*Annahmen!$B$10</f>
        <v/>
      </c>
      <c r="U19" s="25">
        <f>U14*Annahmen!$B$6+U15*Annahmen!$B$7+U16*Annahmen!$B$9+U17*Annahmen!$B$10</f>
        <v/>
      </c>
      <c r="V19" s="25">
        <f>V14*Annahmen!$B$6+V15*Annahmen!$B$7+V16*Annahmen!$B$9+V17*Annahmen!$B$10</f>
        <v/>
      </c>
      <c r="W19" s="25">
        <f>W14*Annahmen!$B$6+W15*Annahmen!$B$7+W16*Annahmen!$B$9+W17*Annahmen!$B$10</f>
        <v/>
      </c>
      <c r="X19" s="25">
        <f>X14*Annahmen!$B$6+X15*Annahmen!$B$7+X16*Annahmen!$B$9+X17*Annahmen!$B$10</f>
        <v/>
      </c>
      <c r="Y19" s="25">
        <f>Y14*Annahmen!$B$6+Y15*Annahmen!$B$7+Y16*Annahmen!$B$9+Y17*Annahmen!$B$10</f>
        <v/>
      </c>
    </row>
    <row r="20">
      <c r="A20" s="5" t="inlineStr">
        <is>
          <t>Einmalumsatz</t>
        </is>
      </c>
      <c r="B20" s="26">
        <f>B11*(Annahmen!$B$12/(1-Annahmen!$B$15*(1-B6))*Annahmen!$B$5+Annahmen!$B$13/(1-Annahmen!$B$15*(1-B6))*Annahmen!$B$8+Annahmen!$B$15*B6*Annahmen!$B$11)</f>
        <v/>
      </c>
      <c r="C20" s="26">
        <f>C11*(Annahmen!$B$12/(1-Annahmen!$B$15*(1-C6))*Annahmen!$B$5+Annahmen!$B$13/(1-Annahmen!$B$15*(1-C6))*Annahmen!$B$8+Annahmen!$B$15*C6*Annahmen!$B$11)</f>
        <v/>
      </c>
      <c r="D20" s="26">
        <f>D11*(Annahmen!$B$12/(1-Annahmen!$B$15*(1-D6))*Annahmen!$B$5+Annahmen!$B$13/(1-Annahmen!$B$15*(1-D6))*Annahmen!$B$8+Annahmen!$B$15*D6*Annahmen!$B$11)</f>
        <v/>
      </c>
      <c r="E20" s="26">
        <f>E11*(Annahmen!$B$12/(1-Annahmen!$B$15*(1-E6))*Annahmen!$B$5+Annahmen!$B$13/(1-Annahmen!$B$15*(1-E6))*Annahmen!$B$8+Annahmen!$B$15*E6*Annahmen!$B$11)</f>
        <v/>
      </c>
      <c r="F20" s="26">
        <f>F11*(Annahmen!$B$12/(1-Annahmen!$B$15*(1-F6))*Annahmen!$B$5+Annahmen!$B$13/(1-Annahmen!$B$15*(1-F6))*Annahmen!$B$8+Annahmen!$B$15*F6*Annahmen!$B$11)</f>
        <v/>
      </c>
      <c r="G20" s="26">
        <f>G11*(Annahmen!$B$12/(1-Annahmen!$B$15*(1-G6))*Annahmen!$B$5+Annahmen!$B$13/(1-Annahmen!$B$15*(1-G6))*Annahmen!$B$8+Annahmen!$B$15*G6*Annahmen!$B$11)</f>
        <v/>
      </c>
      <c r="H20" s="26">
        <f>H11*(Annahmen!$B$12/(1-Annahmen!$B$15*(1-H6))*Annahmen!$B$5+Annahmen!$B$13/(1-Annahmen!$B$15*(1-H6))*Annahmen!$B$8+Annahmen!$B$15*H6*Annahmen!$B$11)</f>
        <v/>
      </c>
      <c r="I20" s="26">
        <f>I11*(Annahmen!$B$12/(1-Annahmen!$B$15*(1-I6))*Annahmen!$B$5+Annahmen!$B$13/(1-Annahmen!$B$15*(1-I6))*Annahmen!$B$8+Annahmen!$B$15*I6*Annahmen!$B$11)</f>
        <v/>
      </c>
      <c r="J20" s="26">
        <f>J11*(Annahmen!$B$12/(1-Annahmen!$B$15*(1-J6))*Annahmen!$B$5+Annahmen!$B$13/(1-Annahmen!$B$15*(1-J6))*Annahmen!$B$8+Annahmen!$B$15*J6*Annahmen!$B$11)</f>
        <v/>
      </c>
      <c r="K20" s="26">
        <f>K11*(Annahmen!$B$12/(1-Annahmen!$B$15*(1-K6))*Annahmen!$B$5+Annahmen!$B$13/(1-Annahmen!$B$15*(1-K6))*Annahmen!$B$8+Annahmen!$B$15*K6*Annahmen!$B$11)</f>
        <v/>
      </c>
      <c r="L20" s="26">
        <f>L11*(Annahmen!$B$12/(1-Annahmen!$B$15*(1-L6))*Annahmen!$B$5+Annahmen!$B$13/(1-Annahmen!$B$15*(1-L6))*Annahmen!$B$8+Annahmen!$B$15*L6*Annahmen!$B$11)</f>
        <v/>
      </c>
      <c r="M20" s="26">
        <f>M11*(Annahmen!$B$12/(1-Annahmen!$B$15*(1-M6))*Annahmen!$B$5+Annahmen!$B$13/(1-Annahmen!$B$15*(1-M6))*Annahmen!$B$8+Annahmen!$B$15*M6*Annahmen!$B$11)</f>
        <v/>
      </c>
      <c r="N20" s="26">
        <f>N11*(Annahmen!$B$12/(1-Annahmen!$B$15*(1-N6))*Annahmen!$B$5+Annahmen!$B$13/(1-Annahmen!$B$15*(1-N6))*Annahmen!$B$8+Annahmen!$B$15*N6*Annahmen!$B$11)</f>
        <v/>
      </c>
      <c r="O20" s="26">
        <f>O11*(Annahmen!$B$12/(1-Annahmen!$B$15*(1-O6))*Annahmen!$B$5+Annahmen!$B$13/(1-Annahmen!$B$15*(1-O6))*Annahmen!$B$8+Annahmen!$B$15*O6*Annahmen!$B$11)</f>
        <v/>
      </c>
      <c r="P20" s="26">
        <f>P11*(Annahmen!$B$12/(1-Annahmen!$B$15*(1-P6))*Annahmen!$B$5+Annahmen!$B$13/(1-Annahmen!$B$15*(1-P6))*Annahmen!$B$8+Annahmen!$B$15*P6*Annahmen!$B$11)</f>
        <v/>
      </c>
      <c r="Q20" s="26">
        <f>Q11*(Annahmen!$B$12/(1-Annahmen!$B$15*(1-Q6))*Annahmen!$B$5+Annahmen!$B$13/(1-Annahmen!$B$15*(1-Q6))*Annahmen!$B$8+Annahmen!$B$15*Q6*Annahmen!$B$11)</f>
        <v/>
      </c>
      <c r="R20" s="26">
        <f>R11*(Annahmen!$B$12/(1-Annahmen!$B$15*(1-R6))*Annahmen!$B$5+Annahmen!$B$13/(1-Annahmen!$B$15*(1-R6))*Annahmen!$B$8+Annahmen!$B$15*R6*Annahmen!$B$11)</f>
        <v/>
      </c>
      <c r="S20" s="26">
        <f>S11*(Annahmen!$B$12/(1-Annahmen!$B$15*(1-S6))*Annahmen!$B$5+Annahmen!$B$13/(1-Annahmen!$B$15*(1-S6))*Annahmen!$B$8+Annahmen!$B$15*S6*Annahmen!$B$11)</f>
        <v/>
      </c>
      <c r="T20" s="26">
        <f>T11*(Annahmen!$B$12/(1-Annahmen!$B$15*(1-T6))*Annahmen!$B$5+Annahmen!$B$13/(1-Annahmen!$B$15*(1-T6))*Annahmen!$B$8+Annahmen!$B$15*T6*Annahmen!$B$11)</f>
        <v/>
      </c>
      <c r="U20" s="26">
        <f>U11*(Annahmen!$B$12/(1-Annahmen!$B$15*(1-U6))*Annahmen!$B$5+Annahmen!$B$13/(1-Annahmen!$B$15*(1-U6))*Annahmen!$B$8+Annahmen!$B$15*U6*Annahmen!$B$11)</f>
        <v/>
      </c>
      <c r="V20" s="26">
        <f>V11*(Annahmen!$B$12/(1-Annahmen!$B$15*(1-V6))*Annahmen!$B$5+Annahmen!$B$13/(1-Annahmen!$B$15*(1-V6))*Annahmen!$B$8+Annahmen!$B$15*V6*Annahmen!$B$11)</f>
        <v/>
      </c>
      <c r="W20" s="26">
        <f>W11*(Annahmen!$B$12/(1-Annahmen!$B$15*(1-W6))*Annahmen!$B$5+Annahmen!$B$13/(1-Annahmen!$B$15*(1-W6))*Annahmen!$B$8+Annahmen!$B$15*W6*Annahmen!$B$11)</f>
        <v/>
      </c>
      <c r="X20" s="26">
        <f>X11*(Annahmen!$B$12/(1-Annahmen!$B$15*(1-X6))*Annahmen!$B$5+Annahmen!$B$13/(1-Annahmen!$B$15*(1-X6))*Annahmen!$B$8+Annahmen!$B$15*X6*Annahmen!$B$11)</f>
        <v/>
      </c>
      <c r="Y20" s="26">
        <f>Y11*(Annahmen!$B$12/(1-Annahmen!$B$15*(1-Y6))*Annahmen!$B$5+Annahmen!$B$13/(1-Annahmen!$B$15*(1-Y6))*Annahmen!$B$8+Annahmen!$B$15*Y6*Annahmen!$B$11)</f>
        <v/>
      </c>
    </row>
    <row r="21">
      <c r="A21" s="7" t="inlineStr">
        <is>
          <t>Umsatz</t>
        </is>
      </c>
      <c r="B21" s="25">
        <f>B19+B20</f>
        <v/>
      </c>
      <c r="C21" s="25">
        <f>C19+C20</f>
        <v/>
      </c>
      <c r="D21" s="25">
        <f>D19+D20</f>
        <v/>
      </c>
      <c r="E21" s="25">
        <f>E19+E20</f>
        <v/>
      </c>
      <c r="F21" s="25">
        <f>F19+F20</f>
        <v/>
      </c>
      <c r="G21" s="25">
        <f>G19+G20</f>
        <v/>
      </c>
      <c r="H21" s="25">
        <f>H19+H20</f>
        <v/>
      </c>
      <c r="I21" s="25">
        <f>I19+I20</f>
        <v/>
      </c>
      <c r="J21" s="25">
        <f>J19+J20</f>
        <v/>
      </c>
      <c r="K21" s="25">
        <f>K19+K20</f>
        <v/>
      </c>
      <c r="L21" s="25">
        <f>L19+L20</f>
        <v/>
      </c>
      <c r="M21" s="25">
        <f>M19+M20</f>
        <v/>
      </c>
      <c r="N21" s="25">
        <f>N19+N20</f>
        <v/>
      </c>
      <c r="O21" s="25">
        <f>O19+O20</f>
        <v/>
      </c>
      <c r="P21" s="25">
        <f>P19+P20</f>
        <v/>
      </c>
      <c r="Q21" s="25">
        <f>Q19+Q20</f>
        <v/>
      </c>
      <c r="R21" s="25">
        <f>R19+R20</f>
        <v/>
      </c>
      <c r="S21" s="25">
        <f>S19+S20</f>
        <v/>
      </c>
      <c r="T21" s="25">
        <f>T19+T20</f>
        <v/>
      </c>
      <c r="U21" s="25">
        <f>U19+U20</f>
        <v/>
      </c>
      <c r="V21" s="25">
        <f>V19+V20</f>
        <v/>
      </c>
      <c r="W21" s="25">
        <f>W19+W20</f>
        <v/>
      </c>
      <c r="X21" s="25">
        <f>X19+X20</f>
        <v/>
      </c>
      <c r="Y21" s="25">
        <f>Y19+Y20</f>
        <v/>
      </c>
    </row>
    <row r="22">
      <c r="A22" s="5" t="inlineStr">
        <is>
          <t>Kosten</t>
        </is>
      </c>
      <c r="B22" s="26">
        <f>Annahmen!$B$42+Annahmen!$B$43+B7*Annahmen!$B$40</f>
        <v/>
      </c>
      <c r="C22" s="26">
        <f>Annahmen!$B$42+Annahmen!$B$43+C7*Annahmen!$B$40</f>
        <v/>
      </c>
      <c r="D22" s="26">
        <f>Annahmen!$B$42+Annahmen!$B$43+D7*Annahmen!$B$40</f>
        <v/>
      </c>
      <c r="E22" s="26">
        <f>Annahmen!$B$42+Annahmen!$B$43+E7*Annahmen!$B$40</f>
        <v/>
      </c>
      <c r="F22" s="26">
        <f>Annahmen!$B$42+Annahmen!$B$43+F7*Annahmen!$B$40</f>
        <v/>
      </c>
      <c r="G22" s="26">
        <f>Annahmen!$B$42+Annahmen!$B$43+G7*Annahmen!$B$40</f>
        <v/>
      </c>
      <c r="H22" s="26">
        <f>Annahmen!$B$42+Annahmen!$B$43+H7*Annahmen!$B$40</f>
        <v/>
      </c>
      <c r="I22" s="26">
        <f>Annahmen!$B$42+Annahmen!$B$43+I7*Annahmen!$B$40</f>
        <v/>
      </c>
      <c r="J22" s="26">
        <f>Annahmen!$B$42+Annahmen!$B$43+J7*Annahmen!$B$40</f>
        <v/>
      </c>
      <c r="K22" s="26">
        <f>Annahmen!$B$42+Annahmen!$B$43+K7*Annahmen!$B$40</f>
        <v/>
      </c>
      <c r="L22" s="26">
        <f>Annahmen!$B$42+Annahmen!$B$43+L7*Annahmen!$B$40</f>
        <v/>
      </c>
      <c r="M22" s="26">
        <f>Annahmen!$B$42+Annahmen!$B$43+M7*Annahmen!$B$40</f>
        <v/>
      </c>
      <c r="N22" s="26">
        <f>Annahmen!$B$42+Annahmen!$B$43+N7*Annahmen!$B$40</f>
        <v/>
      </c>
      <c r="O22" s="26">
        <f>Annahmen!$B$42+Annahmen!$B$43+O7*Annahmen!$B$40</f>
        <v/>
      </c>
      <c r="P22" s="26">
        <f>Annahmen!$B$42+Annahmen!$B$43+P7*Annahmen!$B$40</f>
        <v/>
      </c>
      <c r="Q22" s="26">
        <f>Annahmen!$B$42+Annahmen!$B$43+Q7*Annahmen!$B$40</f>
        <v/>
      </c>
      <c r="R22" s="26">
        <f>Annahmen!$B$42+Annahmen!$B$43+R7*Annahmen!$B$40</f>
        <v/>
      </c>
      <c r="S22" s="26">
        <f>Annahmen!$B$42+Annahmen!$B$43+S7*Annahmen!$B$40</f>
        <v/>
      </c>
      <c r="T22" s="26">
        <f>Annahmen!$B$42+Annahmen!$B$43+T7*Annahmen!$B$40</f>
        <v/>
      </c>
      <c r="U22" s="26">
        <f>Annahmen!$B$42+Annahmen!$B$43+U7*Annahmen!$B$40</f>
        <v/>
      </c>
      <c r="V22" s="26">
        <f>Annahmen!$B$42+Annahmen!$B$43+V7*Annahmen!$B$40</f>
        <v/>
      </c>
      <c r="W22" s="26">
        <f>Annahmen!$B$42+Annahmen!$B$43+W7*Annahmen!$B$40</f>
        <v/>
      </c>
      <c r="X22" s="26">
        <f>Annahmen!$B$42+Annahmen!$B$43+X7*Annahmen!$B$40</f>
        <v/>
      </c>
      <c r="Y22" s="26">
        <f>Annahmen!$B$42+Annahmen!$B$43+Y7*Annahmen!$B$40</f>
        <v/>
      </c>
    </row>
    <row r="23">
      <c r="A23" s="7" t="inlineStr">
        <is>
          <t>Ergebnis vor Steuern (= Einkommen Gründer)</t>
        </is>
      </c>
      <c r="B23" s="25">
        <f>B21-B22</f>
        <v/>
      </c>
      <c r="C23" s="25">
        <f>C21-C22</f>
        <v/>
      </c>
      <c r="D23" s="25">
        <f>D21-D22</f>
        <v/>
      </c>
      <c r="E23" s="25">
        <f>E21-E22</f>
        <v/>
      </c>
      <c r="F23" s="25">
        <f>F21-F22</f>
        <v/>
      </c>
      <c r="G23" s="25">
        <f>G21-G22</f>
        <v/>
      </c>
      <c r="H23" s="25">
        <f>H21-H22</f>
        <v/>
      </c>
      <c r="I23" s="25">
        <f>I21-I22</f>
        <v/>
      </c>
      <c r="J23" s="25">
        <f>J21-J22</f>
        <v/>
      </c>
      <c r="K23" s="25">
        <f>K21-K22</f>
        <v/>
      </c>
      <c r="L23" s="25">
        <f>L21-L22</f>
        <v/>
      </c>
      <c r="M23" s="25">
        <f>M21-M22</f>
        <v/>
      </c>
      <c r="N23" s="25">
        <f>N21-N22</f>
        <v/>
      </c>
      <c r="O23" s="25">
        <f>O21-O22</f>
        <v/>
      </c>
      <c r="P23" s="25">
        <f>P21-P22</f>
        <v/>
      </c>
      <c r="Q23" s="25">
        <f>Q21-Q22</f>
        <v/>
      </c>
      <c r="R23" s="25">
        <f>R21-R22</f>
        <v/>
      </c>
      <c r="S23" s="25">
        <f>S21-S22</f>
        <v/>
      </c>
      <c r="T23" s="25">
        <f>T21-T22</f>
        <v/>
      </c>
      <c r="U23" s="25">
        <f>U21-U22</f>
        <v/>
      </c>
      <c r="V23" s="25">
        <f>V21-V22</f>
        <v/>
      </c>
      <c r="W23" s="25">
        <f>W21-W22</f>
        <v/>
      </c>
      <c r="X23" s="25">
        <f>X21-X22</f>
        <v/>
      </c>
      <c r="Y23" s="25">
        <f>Y21-Y22</f>
        <v/>
      </c>
    </row>
    <row r="24">
      <c r="A24" s="7" t="inlineStr">
        <is>
          <t>Kasse kumuliert</t>
        </is>
      </c>
      <c r="B24" s="16">
        <f>B23</f>
        <v/>
      </c>
      <c r="C24" s="16">
        <f>B24+C23</f>
        <v/>
      </c>
      <c r="D24" s="16">
        <f>C24+D23</f>
        <v/>
      </c>
      <c r="E24" s="16">
        <f>D24+E23</f>
        <v/>
      </c>
      <c r="F24" s="16">
        <f>E24+F23</f>
        <v/>
      </c>
      <c r="G24" s="16">
        <f>F24+G23</f>
        <v/>
      </c>
      <c r="H24" s="16">
        <f>G24+H23</f>
        <v/>
      </c>
      <c r="I24" s="16">
        <f>H24+I23</f>
        <v/>
      </c>
      <c r="J24" s="16">
        <f>I24+J23</f>
        <v/>
      </c>
      <c r="K24" s="16">
        <f>J24+K23</f>
        <v/>
      </c>
      <c r="L24" s="16">
        <f>K24+L23</f>
        <v/>
      </c>
      <c r="M24" s="16">
        <f>L24+M23</f>
        <v/>
      </c>
      <c r="N24" s="16">
        <f>M24+N23</f>
        <v/>
      </c>
      <c r="O24" s="16">
        <f>N24+O23</f>
        <v/>
      </c>
      <c r="P24" s="16">
        <f>O24+P23</f>
        <v/>
      </c>
      <c r="Q24" s="16">
        <f>P24+Q23</f>
        <v/>
      </c>
      <c r="R24" s="16">
        <f>Q24+R23</f>
        <v/>
      </c>
      <c r="S24" s="16">
        <f>R24+S23</f>
        <v/>
      </c>
      <c r="T24" s="16">
        <f>S24+T23</f>
        <v/>
      </c>
      <c r="U24" s="16">
        <f>T24+U23</f>
        <v/>
      </c>
      <c r="V24" s="16">
        <f>U24+V23</f>
        <v/>
      </c>
      <c r="W24" s="16">
        <f>V24+W23</f>
        <v/>
      </c>
      <c r="X24" s="16">
        <f>W24+X23</f>
        <v/>
      </c>
      <c r="Y24" s="16">
        <f>X24+Y23</f>
        <v/>
      </c>
    </row>
    <row r="25">
      <c r="A25" s="5" t="inlineStr">
        <is>
          <t>Belegte Stunden</t>
        </is>
      </c>
      <c r="B25" s="22">
        <f>B9+B11*B8</f>
        <v/>
      </c>
      <c r="C25" s="22">
        <f>C9+C11*C8</f>
        <v/>
      </c>
      <c r="D25" s="22">
        <f>D9+D11*D8</f>
        <v/>
      </c>
      <c r="E25" s="22">
        <f>E9+E11*E8</f>
        <v/>
      </c>
      <c r="F25" s="22">
        <f>F9+F11*F8</f>
        <v/>
      </c>
      <c r="G25" s="22">
        <f>G9+G11*G8</f>
        <v/>
      </c>
      <c r="H25" s="22">
        <f>H9+H11*H8</f>
        <v/>
      </c>
      <c r="I25" s="22">
        <f>I9+I11*I8</f>
        <v/>
      </c>
      <c r="J25" s="22">
        <f>J9+J11*J8</f>
        <v/>
      </c>
      <c r="K25" s="22">
        <f>K9+K11*K8</f>
        <v/>
      </c>
      <c r="L25" s="22">
        <f>L9+L11*L8</f>
        <v/>
      </c>
      <c r="M25" s="22">
        <f>M9+M11*M8</f>
        <v/>
      </c>
      <c r="N25" s="22">
        <f>N9+N11*N8</f>
        <v/>
      </c>
      <c r="O25" s="22">
        <f>O9+O11*O8</f>
        <v/>
      </c>
      <c r="P25" s="22">
        <f>P9+P11*P8</f>
        <v/>
      </c>
      <c r="Q25" s="22">
        <f>Q9+Q11*Q8</f>
        <v/>
      </c>
      <c r="R25" s="22">
        <f>R9+R11*R8</f>
        <v/>
      </c>
      <c r="S25" s="22">
        <f>S9+S11*S8</f>
        <v/>
      </c>
      <c r="T25" s="22">
        <f>T9+T11*T8</f>
        <v/>
      </c>
      <c r="U25" s="22">
        <f>U9+U11*U8</f>
        <v/>
      </c>
      <c r="V25" s="22">
        <f>V9+V11*V8</f>
        <v/>
      </c>
      <c r="W25" s="22">
        <f>W9+W11*W8</f>
        <v/>
      </c>
      <c r="X25" s="22">
        <f>X9+X11*X8</f>
        <v/>
      </c>
      <c r="Y25" s="22">
        <f>Y9+Y11*Y8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Solo-Plan · Szenario Konservativ · automatisiert ab Kunde 5 (24 Monate ab Nov 2026)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</row>
    <row r="2">
      <c r="A2" s="3" t="inlineStr">
        <is>
          <t>Abschlüsse = Minimum aus Vertriebstempo und freien Stunden. Kundenzahlen sind Erwartungswerte.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</row>
    <row r="4">
      <c r="A4" s="4" t="inlineStr">
        <is>
          <t>Monat</t>
        </is>
      </c>
      <c r="B4" s="4" t="inlineStr">
        <is>
          <t>Nov 26</t>
        </is>
      </c>
      <c r="C4" s="4" t="inlineStr">
        <is>
          <t>Dez 26</t>
        </is>
      </c>
      <c r="D4" s="4" t="inlineStr">
        <is>
          <t>Jan 27</t>
        </is>
      </c>
      <c r="E4" s="4" t="inlineStr">
        <is>
          <t>Feb 27</t>
        </is>
      </c>
      <c r="F4" s="4" t="inlineStr">
        <is>
          <t>Mär 27</t>
        </is>
      </c>
      <c r="G4" s="4" t="inlineStr">
        <is>
          <t>Apr 27</t>
        </is>
      </c>
      <c r="H4" s="4" t="inlineStr">
        <is>
          <t>Mai 27</t>
        </is>
      </c>
      <c r="I4" s="4" t="inlineStr">
        <is>
          <t>Jun 27</t>
        </is>
      </c>
      <c r="J4" s="4" t="inlineStr">
        <is>
          <t>Jul 27</t>
        </is>
      </c>
      <c r="K4" s="4" t="inlineStr">
        <is>
          <t>Aug 27</t>
        </is>
      </c>
      <c r="L4" s="4" t="inlineStr">
        <is>
          <t>Sep 27</t>
        </is>
      </c>
      <c r="M4" s="4" t="inlineStr">
        <is>
          <t>Okt 27</t>
        </is>
      </c>
      <c r="N4" s="4" t="inlineStr">
        <is>
          <t>Nov 27</t>
        </is>
      </c>
      <c r="O4" s="4" t="inlineStr">
        <is>
          <t>Dez 27</t>
        </is>
      </c>
      <c r="P4" s="4" t="inlineStr">
        <is>
          <t>Jan 28</t>
        </is>
      </c>
      <c r="Q4" s="4" t="inlineStr">
        <is>
          <t>Feb 28</t>
        </is>
      </c>
      <c r="R4" s="4" t="inlineStr">
        <is>
          <t>Mär 28</t>
        </is>
      </c>
      <c r="S4" s="4" t="inlineStr">
        <is>
          <t>Apr 28</t>
        </is>
      </c>
      <c r="T4" s="4" t="inlineStr">
        <is>
          <t>Mai 28</t>
        </is>
      </c>
      <c r="U4" s="4" t="inlineStr">
        <is>
          <t>Jun 28</t>
        </is>
      </c>
      <c r="V4" s="4" t="inlineStr">
        <is>
          <t>Jul 28</t>
        </is>
      </c>
      <c r="W4" s="4" t="inlineStr">
        <is>
          <t>Aug 28</t>
        </is>
      </c>
      <c r="X4" s="4" t="inlineStr">
        <is>
          <t>Sep 28</t>
        </is>
      </c>
      <c r="Y4" s="4" t="inlineStr">
        <is>
          <t>Okt 28</t>
        </is>
      </c>
    </row>
    <row r="5">
      <c r="A5" s="5" t="inlineStr">
        <is>
          <t>Abschluss-Ziel (Vertrieb)</t>
        </is>
      </c>
      <c r="B5" s="22">
        <f>Annahmen!$B$48</f>
        <v/>
      </c>
      <c r="C5" s="22">
        <f>Annahmen!$B$48</f>
        <v/>
      </c>
      <c r="D5" s="22">
        <f>Annahmen!$B$49</f>
        <v/>
      </c>
      <c r="E5" s="22">
        <f>Annahmen!$B$49</f>
        <v/>
      </c>
      <c r="F5" s="22">
        <f>Annahmen!$B$49</f>
        <v/>
      </c>
      <c r="G5" s="22">
        <f>Annahmen!$B$49</f>
        <v/>
      </c>
      <c r="H5" s="22">
        <f>Annahmen!$B$49</f>
        <v/>
      </c>
      <c r="I5" s="22">
        <f>Annahmen!$B$49</f>
        <v/>
      </c>
      <c r="J5" s="22">
        <f>Annahmen!$B$49</f>
        <v/>
      </c>
      <c r="K5" s="22">
        <f>Annahmen!$B$49</f>
        <v/>
      </c>
      <c r="L5" s="22">
        <f>Annahmen!$B$49</f>
        <v/>
      </c>
      <c r="M5" s="22">
        <f>Annahmen!$B$49</f>
        <v/>
      </c>
      <c r="N5" s="22">
        <f>Annahmen!$B$49</f>
        <v/>
      </c>
      <c r="O5" s="22">
        <f>Annahmen!$B$49</f>
        <v/>
      </c>
      <c r="P5" s="22">
        <f>Annahmen!$B$49</f>
        <v/>
      </c>
      <c r="Q5" s="22">
        <f>Annahmen!$B$49</f>
        <v/>
      </c>
      <c r="R5" s="22">
        <f>Annahmen!$B$49</f>
        <v/>
      </c>
      <c r="S5" s="22">
        <f>Annahmen!$B$49</f>
        <v/>
      </c>
      <c r="T5" s="22">
        <f>Annahmen!$B$49</f>
        <v/>
      </c>
      <c r="U5" s="22">
        <f>Annahmen!$B$49</f>
        <v/>
      </c>
      <c r="V5" s="22">
        <f>Annahmen!$B$49</f>
        <v/>
      </c>
      <c r="W5" s="22">
        <f>Annahmen!$B$49</f>
        <v/>
      </c>
      <c r="X5" s="22">
        <f>Annahmen!$B$49</f>
        <v/>
      </c>
      <c r="Y5" s="22">
        <f>Annahmen!$B$49</f>
        <v/>
      </c>
    </row>
    <row r="6">
      <c r="A6" s="5" t="inlineStr">
        <is>
          <t>Recruiting im Verkauf (1 = ja)</t>
        </is>
      </c>
      <c r="B6" s="23">
        <f>IF(1&gt;=Annahmen!$B$16,1,0)</f>
        <v/>
      </c>
      <c r="C6" s="23">
        <f>IF(2&gt;=Annahmen!$B$16,1,0)</f>
        <v/>
      </c>
      <c r="D6" s="23">
        <f>IF(3&gt;=Annahmen!$B$16,1,0)</f>
        <v/>
      </c>
      <c r="E6" s="23">
        <f>IF(4&gt;=Annahmen!$B$16,1,0)</f>
        <v/>
      </c>
      <c r="F6" s="23">
        <f>IF(5&gt;=Annahmen!$B$16,1,0)</f>
        <v/>
      </c>
      <c r="G6" s="23">
        <f>IF(6&gt;=Annahmen!$B$16,1,0)</f>
        <v/>
      </c>
      <c r="H6" s="23">
        <f>IF(7&gt;=Annahmen!$B$16,1,0)</f>
        <v/>
      </c>
      <c r="I6" s="23">
        <f>IF(8&gt;=Annahmen!$B$16,1,0)</f>
        <v/>
      </c>
      <c r="J6" s="23">
        <f>IF(9&gt;=Annahmen!$B$16,1,0)</f>
        <v/>
      </c>
      <c r="K6" s="23">
        <f>IF(10&gt;=Annahmen!$B$16,1,0)</f>
        <v/>
      </c>
      <c r="L6" s="23">
        <f>IF(11&gt;=Annahmen!$B$16,1,0)</f>
        <v/>
      </c>
      <c r="M6" s="23">
        <f>IF(12&gt;=Annahmen!$B$16,1,0)</f>
        <v/>
      </c>
      <c r="N6" s="23">
        <f>IF(13&gt;=Annahmen!$B$16,1,0)</f>
        <v/>
      </c>
      <c r="O6" s="23">
        <f>IF(14&gt;=Annahmen!$B$16,1,0)</f>
        <v/>
      </c>
      <c r="P6" s="23">
        <f>IF(15&gt;=Annahmen!$B$16,1,0)</f>
        <v/>
      </c>
      <c r="Q6" s="23">
        <f>IF(16&gt;=Annahmen!$B$16,1,0)</f>
        <v/>
      </c>
      <c r="R6" s="23">
        <f>IF(17&gt;=Annahmen!$B$16,1,0)</f>
        <v/>
      </c>
      <c r="S6" s="23">
        <f>IF(18&gt;=Annahmen!$B$16,1,0)</f>
        <v/>
      </c>
      <c r="T6" s="23">
        <f>IF(19&gt;=Annahmen!$B$16,1,0)</f>
        <v/>
      </c>
      <c r="U6" s="23">
        <f>IF(20&gt;=Annahmen!$B$16,1,0)</f>
        <v/>
      </c>
      <c r="V6" s="23">
        <f>IF(21&gt;=Annahmen!$B$16,1,0)</f>
        <v/>
      </c>
      <c r="W6" s="23">
        <f>IF(22&gt;=Annahmen!$B$16,1,0)</f>
        <v/>
      </c>
      <c r="X6" s="23">
        <f>IF(23&gt;=Annahmen!$B$16,1,0)</f>
        <v/>
      </c>
      <c r="Y6" s="23">
        <f>IF(24&gt;=Annahmen!$B$16,1,0)</f>
        <v/>
      </c>
    </row>
    <row r="7">
      <c r="A7" s="5" t="inlineStr">
        <is>
          <t>Automatisierung aktiv (1 = ja)</t>
        </is>
      </c>
      <c r="B7" s="23">
        <f>IF(0&gt;=Annahmen!$B$39-1,1,0)</f>
        <v/>
      </c>
      <c r="C7" s="23">
        <f>IF(B12&gt;=Annahmen!$B$39-1,1,0)</f>
        <v/>
      </c>
      <c r="D7" s="23">
        <f>IF(C12&gt;=Annahmen!$B$39-1,1,0)</f>
        <v/>
      </c>
      <c r="E7" s="23">
        <f>IF(D12&gt;=Annahmen!$B$39-1,1,0)</f>
        <v/>
      </c>
      <c r="F7" s="23">
        <f>IF(E12&gt;=Annahmen!$B$39-1,1,0)</f>
        <v/>
      </c>
      <c r="G7" s="23">
        <f>IF(F12&gt;=Annahmen!$B$39-1,1,0)</f>
        <v/>
      </c>
      <c r="H7" s="23">
        <f>IF(G12&gt;=Annahmen!$B$39-1,1,0)</f>
        <v/>
      </c>
      <c r="I7" s="23">
        <f>IF(H12&gt;=Annahmen!$B$39-1,1,0)</f>
        <v/>
      </c>
      <c r="J7" s="23">
        <f>IF(I12&gt;=Annahmen!$B$39-1,1,0)</f>
        <v/>
      </c>
      <c r="K7" s="23">
        <f>IF(J12&gt;=Annahmen!$B$39-1,1,0)</f>
        <v/>
      </c>
      <c r="L7" s="23">
        <f>IF(K12&gt;=Annahmen!$B$39-1,1,0)</f>
        <v/>
      </c>
      <c r="M7" s="23">
        <f>IF(L12&gt;=Annahmen!$B$39-1,1,0)</f>
        <v/>
      </c>
      <c r="N7" s="23">
        <f>IF(M12&gt;=Annahmen!$B$39-1,1,0)</f>
        <v/>
      </c>
      <c r="O7" s="23">
        <f>IF(N12&gt;=Annahmen!$B$39-1,1,0)</f>
        <v/>
      </c>
      <c r="P7" s="23">
        <f>IF(O12&gt;=Annahmen!$B$39-1,1,0)</f>
        <v/>
      </c>
      <c r="Q7" s="23">
        <f>IF(P12&gt;=Annahmen!$B$39-1,1,0)</f>
        <v/>
      </c>
      <c r="R7" s="23">
        <f>IF(Q12&gt;=Annahmen!$B$39-1,1,0)</f>
        <v/>
      </c>
      <c r="S7" s="23">
        <f>IF(R12&gt;=Annahmen!$B$39-1,1,0)</f>
        <v/>
      </c>
      <c r="T7" s="23">
        <f>IF(S12&gt;=Annahmen!$B$39-1,1,0)</f>
        <v/>
      </c>
      <c r="U7" s="23">
        <f>IF(T12&gt;=Annahmen!$B$39-1,1,0)</f>
        <v/>
      </c>
      <c r="V7" s="23">
        <f>IF(U12&gt;=Annahmen!$B$39-1,1,0)</f>
        <v/>
      </c>
      <c r="W7" s="23">
        <f>IF(V12&gt;=Annahmen!$B$39-1,1,0)</f>
        <v/>
      </c>
      <c r="X7" s="23">
        <f>IF(W12&gt;=Annahmen!$B$39-1,1,0)</f>
        <v/>
      </c>
      <c r="Y7" s="23">
        <f>IF(X12&gt;=Annahmen!$B$39-1,1,0)</f>
        <v/>
      </c>
    </row>
    <row r="8">
      <c r="A8" s="5" t="inlineStr">
        <is>
          <t>Std. je neuem Abschluss</t>
        </is>
      </c>
      <c r="B8" s="22">
        <f>Annahmen!$B$12/(1-Annahmen!$B$15*(1-B6))*((Annahmen!$B$21+B7*(Annahmen!$B$30-Annahmen!$B$21))+(Annahmen!$B$25+B7*(Annahmen!$B$34-Annahmen!$B$25))+(Annahmen!$B$29+B7*(Annahmen!$B$38-Annahmen!$B$29)))+Annahmen!$B$13/(1-Annahmen!$B$15*(1-B6))*((Annahmen!$B$22+B7*(Annahmen!$B$31-Annahmen!$B$22))+(Annahmen!$B$26+B7*(Annahmen!$B$35-Annahmen!$B$26))+(Annahmen!$B$29+B7*(Annahmen!$B$38-Annahmen!$B$29)))+Annahmen!$B$14/(1-Annahmen!$B$15*(1-B6))*((Annahmen!$B$23+B7*(Annahmen!$B$32-Annahmen!$B$23))+(Annahmen!$B$27+B7*(Annahmen!$B$36-Annahmen!$B$27))+(Annahmen!$B$29+B7*(Annahmen!$B$38-Annahmen!$B$29)))+Annahmen!$B$15*B6*((Annahmen!$B$24+B7*(Annahmen!$B$33-Annahmen!$B$24))+(Annahmen!$B$28+B7*(Annahmen!$B$37-Annahmen!$B$28))+(Annahmen!$B$29+B7*(Annahmen!$B$38-Annahmen!$B$29)))</f>
        <v/>
      </c>
      <c r="C8" s="22">
        <f>Annahmen!$B$12/(1-Annahmen!$B$15*(1-C6))*((Annahmen!$B$21+C7*(Annahmen!$B$30-Annahmen!$B$21))+(Annahmen!$B$25+C7*(Annahmen!$B$34-Annahmen!$B$25))+(Annahmen!$B$29+C7*(Annahmen!$B$38-Annahmen!$B$29)))+Annahmen!$B$13/(1-Annahmen!$B$15*(1-C6))*((Annahmen!$B$22+C7*(Annahmen!$B$31-Annahmen!$B$22))+(Annahmen!$B$26+C7*(Annahmen!$B$35-Annahmen!$B$26))+(Annahmen!$B$29+C7*(Annahmen!$B$38-Annahmen!$B$29)))+Annahmen!$B$14/(1-Annahmen!$B$15*(1-C6))*((Annahmen!$B$23+C7*(Annahmen!$B$32-Annahmen!$B$23))+(Annahmen!$B$27+C7*(Annahmen!$B$36-Annahmen!$B$27))+(Annahmen!$B$29+C7*(Annahmen!$B$38-Annahmen!$B$29)))+Annahmen!$B$15*C6*((Annahmen!$B$24+C7*(Annahmen!$B$33-Annahmen!$B$24))+(Annahmen!$B$28+C7*(Annahmen!$B$37-Annahmen!$B$28))+(Annahmen!$B$29+C7*(Annahmen!$B$38-Annahmen!$B$29)))</f>
        <v/>
      </c>
      <c r="D8" s="22">
        <f>Annahmen!$B$12/(1-Annahmen!$B$15*(1-D6))*((Annahmen!$B$21+D7*(Annahmen!$B$30-Annahmen!$B$21))+(Annahmen!$B$25+D7*(Annahmen!$B$34-Annahmen!$B$25))+(Annahmen!$B$29+D7*(Annahmen!$B$38-Annahmen!$B$29)))+Annahmen!$B$13/(1-Annahmen!$B$15*(1-D6))*((Annahmen!$B$22+D7*(Annahmen!$B$31-Annahmen!$B$22))+(Annahmen!$B$26+D7*(Annahmen!$B$35-Annahmen!$B$26))+(Annahmen!$B$29+D7*(Annahmen!$B$38-Annahmen!$B$29)))+Annahmen!$B$14/(1-Annahmen!$B$15*(1-D6))*((Annahmen!$B$23+D7*(Annahmen!$B$32-Annahmen!$B$23))+(Annahmen!$B$27+D7*(Annahmen!$B$36-Annahmen!$B$27))+(Annahmen!$B$29+D7*(Annahmen!$B$38-Annahmen!$B$29)))+Annahmen!$B$15*D6*((Annahmen!$B$24+D7*(Annahmen!$B$33-Annahmen!$B$24))+(Annahmen!$B$28+D7*(Annahmen!$B$37-Annahmen!$B$28))+(Annahmen!$B$29+D7*(Annahmen!$B$38-Annahmen!$B$29)))</f>
        <v/>
      </c>
      <c r="E8" s="22">
        <f>Annahmen!$B$12/(1-Annahmen!$B$15*(1-E6))*((Annahmen!$B$21+E7*(Annahmen!$B$30-Annahmen!$B$21))+(Annahmen!$B$25+E7*(Annahmen!$B$34-Annahmen!$B$25))+(Annahmen!$B$29+E7*(Annahmen!$B$38-Annahmen!$B$29)))+Annahmen!$B$13/(1-Annahmen!$B$15*(1-E6))*((Annahmen!$B$22+E7*(Annahmen!$B$31-Annahmen!$B$22))+(Annahmen!$B$26+E7*(Annahmen!$B$35-Annahmen!$B$26))+(Annahmen!$B$29+E7*(Annahmen!$B$38-Annahmen!$B$29)))+Annahmen!$B$14/(1-Annahmen!$B$15*(1-E6))*((Annahmen!$B$23+E7*(Annahmen!$B$32-Annahmen!$B$23))+(Annahmen!$B$27+E7*(Annahmen!$B$36-Annahmen!$B$27))+(Annahmen!$B$29+E7*(Annahmen!$B$38-Annahmen!$B$29)))+Annahmen!$B$15*E6*((Annahmen!$B$24+E7*(Annahmen!$B$33-Annahmen!$B$24))+(Annahmen!$B$28+E7*(Annahmen!$B$37-Annahmen!$B$28))+(Annahmen!$B$29+E7*(Annahmen!$B$38-Annahmen!$B$29)))</f>
        <v/>
      </c>
      <c r="F8" s="22">
        <f>Annahmen!$B$12/(1-Annahmen!$B$15*(1-F6))*((Annahmen!$B$21+F7*(Annahmen!$B$30-Annahmen!$B$21))+(Annahmen!$B$25+F7*(Annahmen!$B$34-Annahmen!$B$25))+(Annahmen!$B$29+F7*(Annahmen!$B$38-Annahmen!$B$29)))+Annahmen!$B$13/(1-Annahmen!$B$15*(1-F6))*((Annahmen!$B$22+F7*(Annahmen!$B$31-Annahmen!$B$22))+(Annahmen!$B$26+F7*(Annahmen!$B$35-Annahmen!$B$26))+(Annahmen!$B$29+F7*(Annahmen!$B$38-Annahmen!$B$29)))+Annahmen!$B$14/(1-Annahmen!$B$15*(1-F6))*((Annahmen!$B$23+F7*(Annahmen!$B$32-Annahmen!$B$23))+(Annahmen!$B$27+F7*(Annahmen!$B$36-Annahmen!$B$27))+(Annahmen!$B$29+F7*(Annahmen!$B$38-Annahmen!$B$29)))+Annahmen!$B$15*F6*((Annahmen!$B$24+F7*(Annahmen!$B$33-Annahmen!$B$24))+(Annahmen!$B$28+F7*(Annahmen!$B$37-Annahmen!$B$28))+(Annahmen!$B$29+F7*(Annahmen!$B$38-Annahmen!$B$29)))</f>
        <v/>
      </c>
      <c r="G8" s="22">
        <f>Annahmen!$B$12/(1-Annahmen!$B$15*(1-G6))*((Annahmen!$B$21+G7*(Annahmen!$B$30-Annahmen!$B$21))+(Annahmen!$B$25+G7*(Annahmen!$B$34-Annahmen!$B$25))+(Annahmen!$B$29+G7*(Annahmen!$B$38-Annahmen!$B$29)))+Annahmen!$B$13/(1-Annahmen!$B$15*(1-G6))*((Annahmen!$B$22+G7*(Annahmen!$B$31-Annahmen!$B$22))+(Annahmen!$B$26+G7*(Annahmen!$B$35-Annahmen!$B$26))+(Annahmen!$B$29+G7*(Annahmen!$B$38-Annahmen!$B$29)))+Annahmen!$B$14/(1-Annahmen!$B$15*(1-G6))*((Annahmen!$B$23+G7*(Annahmen!$B$32-Annahmen!$B$23))+(Annahmen!$B$27+G7*(Annahmen!$B$36-Annahmen!$B$27))+(Annahmen!$B$29+G7*(Annahmen!$B$38-Annahmen!$B$29)))+Annahmen!$B$15*G6*((Annahmen!$B$24+G7*(Annahmen!$B$33-Annahmen!$B$24))+(Annahmen!$B$28+G7*(Annahmen!$B$37-Annahmen!$B$28))+(Annahmen!$B$29+G7*(Annahmen!$B$38-Annahmen!$B$29)))</f>
        <v/>
      </c>
      <c r="H8" s="22">
        <f>Annahmen!$B$12/(1-Annahmen!$B$15*(1-H6))*((Annahmen!$B$21+H7*(Annahmen!$B$30-Annahmen!$B$21))+(Annahmen!$B$25+H7*(Annahmen!$B$34-Annahmen!$B$25))+(Annahmen!$B$29+H7*(Annahmen!$B$38-Annahmen!$B$29)))+Annahmen!$B$13/(1-Annahmen!$B$15*(1-H6))*((Annahmen!$B$22+H7*(Annahmen!$B$31-Annahmen!$B$22))+(Annahmen!$B$26+H7*(Annahmen!$B$35-Annahmen!$B$26))+(Annahmen!$B$29+H7*(Annahmen!$B$38-Annahmen!$B$29)))+Annahmen!$B$14/(1-Annahmen!$B$15*(1-H6))*((Annahmen!$B$23+H7*(Annahmen!$B$32-Annahmen!$B$23))+(Annahmen!$B$27+H7*(Annahmen!$B$36-Annahmen!$B$27))+(Annahmen!$B$29+H7*(Annahmen!$B$38-Annahmen!$B$29)))+Annahmen!$B$15*H6*((Annahmen!$B$24+H7*(Annahmen!$B$33-Annahmen!$B$24))+(Annahmen!$B$28+H7*(Annahmen!$B$37-Annahmen!$B$28))+(Annahmen!$B$29+H7*(Annahmen!$B$38-Annahmen!$B$29)))</f>
        <v/>
      </c>
      <c r="I8" s="22">
        <f>Annahmen!$B$12/(1-Annahmen!$B$15*(1-I6))*((Annahmen!$B$21+I7*(Annahmen!$B$30-Annahmen!$B$21))+(Annahmen!$B$25+I7*(Annahmen!$B$34-Annahmen!$B$25))+(Annahmen!$B$29+I7*(Annahmen!$B$38-Annahmen!$B$29)))+Annahmen!$B$13/(1-Annahmen!$B$15*(1-I6))*((Annahmen!$B$22+I7*(Annahmen!$B$31-Annahmen!$B$22))+(Annahmen!$B$26+I7*(Annahmen!$B$35-Annahmen!$B$26))+(Annahmen!$B$29+I7*(Annahmen!$B$38-Annahmen!$B$29)))+Annahmen!$B$14/(1-Annahmen!$B$15*(1-I6))*((Annahmen!$B$23+I7*(Annahmen!$B$32-Annahmen!$B$23))+(Annahmen!$B$27+I7*(Annahmen!$B$36-Annahmen!$B$27))+(Annahmen!$B$29+I7*(Annahmen!$B$38-Annahmen!$B$29)))+Annahmen!$B$15*I6*((Annahmen!$B$24+I7*(Annahmen!$B$33-Annahmen!$B$24))+(Annahmen!$B$28+I7*(Annahmen!$B$37-Annahmen!$B$28))+(Annahmen!$B$29+I7*(Annahmen!$B$38-Annahmen!$B$29)))</f>
        <v/>
      </c>
      <c r="J8" s="22">
        <f>Annahmen!$B$12/(1-Annahmen!$B$15*(1-J6))*((Annahmen!$B$21+J7*(Annahmen!$B$30-Annahmen!$B$21))+(Annahmen!$B$25+J7*(Annahmen!$B$34-Annahmen!$B$25))+(Annahmen!$B$29+J7*(Annahmen!$B$38-Annahmen!$B$29)))+Annahmen!$B$13/(1-Annahmen!$B$15*(1-J6))*((Annahmen!$B$22+J7*(Annahmen!$B$31-Annahmen!$B$22))+(Annahmen!$B$26+J7*(Annahmen!$B$35-Annahmen!$B$26))+(Annahmen!$B$29+J7*(Annahmen!$B$38-Annahmen!$B$29)))+Annahmen!$B$14/(1-Annahmen!$B$15*(1-J6))*((Annahmen!$B$23+J7*(Annahmen!$B$32-Annahmen!$B$23))+(Annahmen!$B$27+J7*(Annahmen!$B$36-Annahmen!$B$27))+(Annahmen!$B$29+J7*(Annahmen!$B$38-Annahmen!$B$29)))+Annahmen!$B$15*J6*((Annahmen!$B$24+J7*(Annahmen!$B$33-Annahmen!$B$24))+(Annahmen!$B$28+J7*(Annahmen!$B$37-Annahmen!$B$28))+(Annahmen!$B$29+J7*(Annahmen!$B$38-Annahmen!$B$29)))</f>
        <v/>
      </c>
      <c r="K8" s="22">
        <f>Annahmen!$B$12/(1-Annahmen!$B$15*(1-K6))*((Annahmen!$B$21+K7*(Annahmen!$B$30-Annahmen!$B$21))+(Annahmen!$B$25+K7*(Annahmen!$B$34-Annahmen!$B$25))+(Annahmen!$B$29+K7*(Annahmen!$B$38-Annahmen!$B$29)))+Annahmen!$B$13/(1-Annahmen!$B$15*(1-K6))*((Annahmen!$B$22+K7*(Annahmen!$B$31-Annahmen!$B$22))+(Annahmen!$B$26+K7*(Annahmen!$B$35-Annahmen!$B$26))+(Annahmen!$B$29+K7*(Annahmen!$B$38-Annahmen!$B$29)))+Annahmen!$B$14/(1-Annahmen!$B$15*(1-K6))*((Annahmen!$B$23+K7*(Annahmen!$B$32-Annahmen!$B$23))+(Annahmen!$B$27+K7*(Annahmen!$B$36-Annahmen!$B$27))+(Annahmen!$B$29+K7*(Annahmen!$B$38-Annahmen!$B$29)))+Annahmen!$B$15*K6*((Annahmen!$B$24+K7*(Annahmen!$B$33-Annahmen!$B$24))+(Annahmen!$B$28+K7*(Annahmen!$B$37-Annahmen!$B$28))+(Annahmen!$B$29+K7*(Annahmen!$B$38-Annahmen!$B$29)))</f>
        <v/>
      </c>
      <c r="L8" s="22">
        <f>Annahmen!$B$12/(1-Annahmen!$B$15*(1-L6))*((Annahmen!$B$21+L7*(Annahmen!$B$30-Annahmen!$B$21))+(Annahmen!$B$25+L7*(Annahmen!$B$34-Annahmen!$B$25))+(Annahmen!$B$29+L7*(Annahmen!$B$38-Annahmen!$B$29)))+Annahmen!$B$13/(1-Annahmen!$B$15*(1-L6))*((Annahmen!$B$22+L7*(Annahmen!$B$31-Annahmen!$B$22))+(Annahmen!$B$26+L7*(Annahmen!$B$35-Annahmen!$B$26))+(Annahmen!$B$29+L7*(Annahmen!$B$38-Annahmen!$B$29)))+Annahmen!$B$14/(1-Annahmen!$B$15*(1-L6))*((Annahmen!$B$23+L7*(Annahmen!$B$32-Annahmen!$B$23))+(Annahmen!$B$27+L7*(Annahmen!$B$36-Annahmen!$B$27))+(Annahmen!$B$29+L7*(Annahmen!$B$38-Annahmen!$B$29)))+Annahmen!$B$15*L6*((Annahmen!$B$24+L7*(Annahmen!$B$33-Annahmen!$B$24))+(Annahmen!$B$28+L7*(Annahmen!$B$37-Annahmen!$B$28))+(Annahmen!$B$29+L7*(Annahmen!$B$38-Annahmen!$B$29)))</f>
        <v/>
      </c>
      <c r="M8" s="22">
        <f>Annahmen!$B$12/(1-Annahmen!$B$15*(1-M6))*((Annahmen!$B$21+M7*(Annahmen!$B$30-Annahmen!$B$21))+(Annahmen!$B$25+M7*(Annahmen!$B$34-Annahmen!$B$25))+(Annahmen!$B$29+M7*(Annahmen!$B$38-Annahmen!$B$29)))+Annahmen!$B$13/(1-Annahmen!$B$15*(1-M6))*((Annahmen!$B$22+M7*(Annahmen!$B$31-Annahmen!$B$22))+(Annahmen!$B$26+M7*(Annahmen!$B$35-Annahmen!$B$26))+(Annahmen!$B$29+M7*(Annahmen!$B$38-Annahmen!$B$29)))+Annahmen!$B$14/(1-Annahmen!$B$15*(1-M6))*((Annahmen!$B$23+M7*(Annahmen!$B$32-Annahmen!$B$23))+(Annahmen!$B$27+M7*(Annahmen!$B$36-Annahmen!$B$27))+(Annahmen!$B$29+M7*(Annahmen!$B$38-Annahmen!$B$29)))+Annahmen!$B$15*M6*((Annahmen!$B$24+M7*(Annahmen!$B$33-Annahmen!$B$24))+(Annahmen!$B$28+M7*(Annahmen!$B$37-Annahmen!$B$28))+(Annahmen!$B$29+M7*(Annahmen!$B$38-Annahmen!$B$29)))</f>
        <v/>
      </c>
      <c r="N8" s="22">
        <f>Annahmen!$B$12/(1-Annahmen!$B$15*(1-N6))*((Annahmen!$B$21+N7*(Annahmen!$B$30-Annahmen!$B$21))+(Annahmen!$B$25+N7*(Annahmen!$B$34-Annahmen!$B$25))+(Annahmen!$B$29+N7*(Annahmen!$B$38-Annahmen!$B$29)))+Annahmen!$B$13/(1-Annahmen!$B$15*(1-N6))*((Annahmen!$B$22+N7*(Annahmen!$B$31-Annahmen!$B$22))+(Annahmen!$B$26+N7*(Annahmen!$B$35-Annahmen!$B$26))+(Annahmen!$B$29+N7*(Annahmen!$B$38-Annahmen!$B$29)))+Annahmen!$B$14/(1-Annahmen!$B$15*(1-N6))*((Annahmen!$B$23+N7*(Annahmen!$B$32-Annahmen!$B$23))+(Annahmen!$B$27+N7*(Annahmen!$B$36-Annahmen!$B$27))+(Annahmen!$B$29+N7*(Annahmen!$B$38-Annahmen!$B$29)))+Annahmen!$B$15*N6*((Annahmen!$B$24+N7*(Annahmen!$B$33-Annahmen!$B$24))+(Annahmen!$B$28+N7*(Annahmen!$B$37-Annahmen!$B$28))+(Annahmen!$B$29+N7*(Annahmen!$B$38-Annahmen!$B$29)))</f>
        <v/>
      </c>
      <c r="O8" s="22">
        <f>Annahmen!$B$12/(1-Annahmen!$B$15*(1-O6))*((Annahmen!$B$21+O7*(Annahmen!$B$30-Annahmen!$B$21))+(Annahmen!$B$25+O7*(Annahmen!$B$34-Annahmen!$B$25))+(Annahmen!$B$29+O7*(Annahmen!$B$38-Annahmen!$B$29)))+Annahmen!$B$13/(1-Annahmen!$B$15*(1-O6))*((Annahmen!$B$22+O7*(Annahmen!$B$31-Annahmen!$B$22))+(Annahmen!$B$26+O7*(Annahmen!$B$35-Annahmen!$B$26))+(Annahmen!$B$29+O7*(Annahmen!$B$38-Annahmen!$B$29)))+Annahmen!$B$14/(1-Annahmen!$B$15*(1-O6))*((Annahmen!$B$23+O7*(Annahmen!$B$32-Annahmen!$B$23))+(Annahmen!$B$27+O7*(Annahmen!$B$36-Annahmen!$B$27))+(Annahmen!$B$29+O7*(Annahmen!$B$38-Annahmen!$B$29)))+Annahmen!$B$15*O6*((Annahmen!$B$24+O7*(Annahmen!$B$33-Annahmen!$B$24))+(Annahmen!$B$28+O7*(Annahmen!$B$37-Annahmen!$B$28))+(Annahmen!$B$29+O7*(Annahmen!$B$38-Annahmen!$B$29)))</f>
        <v/>
      </c>
      <c r="P8" s="22">
        <f>Annahmen!$B$12/(1-Annahmen!$B$15*(1-P6))*((Annahmen!$B$21+P7*(Annahmen!$B$30-Annahmen!$B$21))+(Annahmen!$B$25+P7*(Annahmen!$B$34-Annahmen!$B$25))+(Annahmen!$B$29+P7*(Annahmen!$B$38-Annahmen!$B$29)))+Annahmen!$B$13/(1-Annahmen!$B$15*(1-P6))*((Annahmen!$B$22+P7*(Annahmen!$B$31-Annahmen!$B$22))+(Annahmen!$B$26+P7*(Annahmen!$B$35-Annahmen!$B$26))+(Annahmen!$B$29+P7*(Annahmen!$B$38-Annahmen!$B$29)))+Annahmen!$B$14/(1-Annahmen!$B$15*(1-P6))*((Annahmen!$B$23+P7*(Annahmen!$B$32-Annahmen!$B$23))+(Annahmen!$B$27+P7*(Annahmen!$B$36-Annahmen!$B$27))+(Annahmen!$B$29+P7*(Annahmen!$B$38-Annahmen!$B$29)))+Annahmen!$B$15*P6*((Annahmen!$B$24+P7*(Annahmen!$B$33-Annahmen!$B$24))+(Annahmen!$B$28+P7*(Annahmen!$B$37-Annahmen!$B$28))+(Annahmen!$B$29+P7*(Annahmen!$B$38-Annahmen!$B$29)))</f>
        <v/>
      </c>
      <c r="Q8" s="22">
        <f>Annahmen!$B$12/(1-Annahmen!$B$15*(1-Q6))*((Annahmen!$B$21+Q7*(Annahmen!$B$30-Annahmen!$B$21))+(Annahmen!$B$25+Q7*(Annahmen!$B$34-Annahmen!$B$25))+(Annahmen!$B$29+Q7*(Annahmen!$B$38-Annahmen!$B$29)))+Annahmen!$B$13/(1-Annahmen!$B$15*(1-Q6))*((Annahmen!$B$22+Q7*(Annahmen!$B$31-Annahmen!$B$22))+(Annahmen!$B$26+Q7*(Annahmen!$B$35-Annahmen!$B$26))+(Annahmen!$B$29+Q7*(Annahmen!$B$38-Annahmen!$B$29)))+Annahmen!$B$14/(1-Annahmen!$B$15*(1-Q6))*((Annahmen!$B$23+Q7*(Annahmen!$B$32-Annahmen!$B$23))+(Annahmen!$B$27+Q7*(Annahmen!$B$36-Annahmen!$B$27))+(Annahmen!$B$29+Q7*(Annahmen!$B$38-Annahmen!$B$29)))+Annahmen!$B$15*Q6*((Annahmen!$B$24+Q7*(Annahmen!$B$33-Annahmen!$B$24))+(Annahmen!$B$28+Q7*(Annahmen!$B$37-Annahmen!$B$28))+(Annahmen!$B$29+Q7*(Annahmen!$B$38-Annahmen!$B$29)))</f>
        <v/>
      </c>
      <c r="R8" s="22">
        <f>Annahmen!$B$12/(1-Annahmen!$B$15*(1-R6))*((Annahmen!$B$21+R7*(Annahmen!$B$30-Annahmen!$B$21))+(Annahmen!$B$25+R7*(Annahmen!$B$34-Annahmen!$B$25))+(Annahmen!$B$29+R7*(Annahmen!$B$38-Annahmen!$B$29)))+Annahmen!$B$13/(1-Annahmen!$B$15*(1-R6))*((Annahmen!$B$22+R7*(Annahmen!$B$31-Annahmen!$B$22))+(Annahmen!$B$26+R7*(Annahmen!$B$35-Annahmen!$B$26))+(Annahmen!$B$29+R7*(Annahmen!$B$38-Annahmen!$B$29)))+Annahmen!$B$14/(1-Annahmen!$B$15*(1-R6))*((Annahmen!$B$23+R7*(Annahmen!$B$32-Annahmen!$B$23))+(Annahmen!$B$27+R7*(Annahmen!$B$36-Annahmen!$B$27))+(Annahmen!$B$29+R7*(Annahmen!$B$38-Annahmen!$B$29)))+Annahmen!$B$15*R6*((Annahmen!$B$24+R7*(Annahmen!$B$33-Annahmen!$B$24))+(Annahmen!$B$28+R7*(Annahmen!$B$37-Annahmen!$B$28))+(Annahmen!$B$29+R7*(Annahmen!$B$38-Annahmen!$B$29)))</f>
        <v/>
      </c>
      <c r="S8" s="22">
        <f>Annahmen!$B$12/(1-Annahmen!$B$15*(1-S6))*((Annahmen!$B$21+S7*(Annahmen!$B$30-Annahmen!$B$21))+(Annahmen!$B$25+S7*(Annahmen!$B$34-Annahmen!$B$25))+(Annahmen!$B$29+S7*(Annahmen!$B$38-Annahmen!$B$29)))+Annahmen!$B$13/(1-Annahmen!$B$15*(1-S6))*((Annahmen!$B$22+S7*(Annahmen!$B$31-Annahmen!$B$22))+(Annahmen!$B$26+S7*(Annahmen!$B$35-Annahmen!$B$26))+(Annahmen!$B$29+S7*(Annahmen!$B$38-Annahmen!$B$29)))+Annahmen!$B$14/(1-Annahmen!$B$15*(1-S6))*((Annahmen!$B$23+S7*(Annahmen!$B$32-Annahmen!$B$23))+(Annahmen!$B$27+S7*(Annahmen!$B$36-Annahmen!$B$27))+(Annahmen!$B$29+S7*(Annahmen!$B$38-Annahmen!$B$29)))+Annahmen!$B$15*S6*((Annahmen!$B$24+S7*(Annahmen!$B$33-Annahmen!$B$24))+(Annahmen!$B$28+S7*(Annahmen!$B$37-Annahmen!$B$28))+(Annahmen!$B$29+S7*(Annahmen!$B$38-Annahmen!$B$29)))</f>
        <v/>
      </c>
      <c r="T8" s="22">
        <f>Annahmen!$B$12/(1-Annahmen!$B$15*(1-T6))*((Annahmen!$B$21+T7*(Annahmen!$B$30-Annahmen!$B$21))+(Annahmen!$B$25+T7*(Annahmen!$B$34-Annahmen!$B$25))+(Annahmen!$B$29+T7*(Annahmen!$B$38-Annahmen!$B$29)))+Annahmen!$B$13/(1-Annahmen!$B$15*(1-T6))*((Annahmen!$B$22+T7*(Annahmen!$B$31-Annahmen!$B$22))+(Annahmen!$B$26+T7*(Annahmen!$B$35-Annahmen!$B$26))+(Annahmen!$B$29+T7*(Annahmen!$B$38-Annahmen!$B$29)))+Annahmen!$B$14/(1-Annahmen!$B$15*(1-T6))*((Annahmen!$B$23+T7*(Annahmen!$B$32-Annahmen!$B$23))+(Annahmen!$B$27+T7*(Annahmen!$B$36-Annahmen!$B$27))+(Annahmen!$B$29+T7*(Annahmen!$B$38-Annahmen!$B$29)))+Annahmen!$B$15*T6*((Annahmen!$B$24+T7*(Annahmen!$B$33-Annahmen!$B$24))+(Annahmen!$B$28+T7*(Annahmen!$B$37-Annahmen!$B$28))+(Annahmen!$B$29+T7*(Annahmen!$B$38-Annahmen!$B$29)))</f>
        <v/>
      </c>
      <c r="U8" s="22">
        <f>Annahmen!$B$12/(1-Annahmen!$B$15*(1-U6))*((Annahmen!$B$21+U7*(Annahmen!$B$30-Annahmen!$B$21))+(Annahmen!$B$25+U7*(Annahmen!$B$34-Annahmen!$B$25))+(Annahmen!$B$29+U7*(Annahmen!$B$38-Annahmen!$B$29)))+Annahmen!$B$13/(1-Annahmen!$B$15*(1-U6))*((Annahmen!$B$22+U7*(Annahmen!$B$31-Annahmen!$B$22))+(Annahmen!$B$26+U7*(Annahmen!$B$35-Annahmen!$B$26))+(Annahmen!$B$29+U7*(Annahmen!$B$38-Annahmen!$B$29)))+Annahmen!$B$14/(1-Annahmen!$B$15*(1-U6))*((Annahmen!$B$23+U7*(Annahmen!$B$32-Annahmen!$B$23))+(Annahmen!$B$27+U7*(Annahmen!$B$36-Annahmen!$B$27))+(Annahmen!$B$29+U7*(Annahmen!$B$38-Annahmen!$B$29)))+Annahmen!$B$15*U6*((Annahmen!$B$24+U7*(Annahmen!$B$33-Annahmen!$B$24))+(Annahmen!$B$28+U7*(Annahmen!$B$37-Annahmen!$B$28))+(Annahmen!$B$29+U7*(Annahmen!$B$38-Annahmen!$B$29)))</f>
        <v/>
      </c>
      <c r="V8" s="22">
        <f>Annahmen!$B$12/(1-Annahmen!$B$15*(1-V6))*((Annahmen!$B$21+V7*(Annahmen!$B$30-Annahmen!$B$21))+(Annahmen!$B$25+V7*(Annahmen!$B$34-Annahmen!$B$25))+(Annahmen!$B$29+V7*(Annahmen!$B$38-Annahmen!$B$29)))+Annahmen!$B$13/(1-Annahmen!$B$15*(1-V6))*((Annahmen!$B$22+V7*(Annahmen!$B$31-Annahmen!$B$22))+(Annahmen!$B$26+V7*(Annahmen!$B$35-Annahmen!$B$26))+(Annahmen!$B$29+V7*(Annahmen!$B$38-Annahmen!$B$29)))+Annahmen!$B$14/(1-Annahmen!$B$15*(1-V6))*((Annahmen!$B$23+V7*(Annahmen!$B$32-Annahmen!$B$23))+(Annahmen!$B$27+V7*(Annahmen!$B$36-Annahmen!$B$27))+(Annahmen!$B$29+V7*(Annahmen!$B$38-Annahmen!$B$29)))+Annahmen!$B$15*V6*((Annahmen!$B$24+V7*(Annahmen!$B$33-Annahmen!$B$24))+(Annahmen!$B$28+V7*(Annahmen!$B$37-Annahmen!$B$28))+(Annahmen!$B$29+V7*(Annahmen!$B$38-Annahmen!$B$29)))</f>
        <v/>
      </c>
      <c r="W8" s="22">
        <f>Annahmen!$B$12/(1-Annahmen!$B$15*(1-W6))*((Annahmen!$B$21+W7*(Annahmen!$B$30-Annahmen!$B$21))+(Annahmen!$B$25+W7*(Annahmen!$B$34-Annahmen!$B$25))+(Annahmen!$B$29+W7*(Annahmen!$B$38-Annahmen!$B$29)))+Annahmen!$B$13/(1-Annahmen!$B$15*(1-W6))*((Annahmen!$B$22+W7*(Annahmen!$B$31-Annahmen!$B$22))+(Annahmen!$B$26+W7*(Annahmen!$B$35-Annahmen!$B$26))+(Annahmen!$B$29+W7*(Annahmen!$B$38-Annahmen!$B$29)))+Annahmen!$B$14/(1-Annahmen!$B$15*(1-W6))*((Annahmen!$B$23+W7*(Annahmen!$B$32-Annahmen!$B$23))+(Annahmen!$B$27+W7*(Annahmen!$B$36-Annahmen!$B$27))+(Annahmen!$B$29+W7*(Annahmen!$B$38-Annahmen!$B$29)))+Annahmen!$B$15*W6*((Annahmen!$B$24+W7*(Annahmen!$B$33-Annahmen!$B$24))+(Annahmen!$B$28+W7*(Annahmen!$B$37-Annahmen!$B$28))+(Annahmen!$B$29+W7*(Annahmen!$B$38-Annahmen!$B$29)))</f>
        <v/>
      </c>
      <c r="X8" s="22">
        <f>Annahmen!$B$12/(1-Annahmen!$B$15*(1-X6))*((Annahmen!$B$21+X7*(Annahmen!$B$30-Annahmen!$B$21))+(Annahmen!$B$25+X7*(Annahmen!$B$34-Annahmen!$B$25))+(Annahmen!$B$29+X7*(Annahmen!$B$38-Annahmen!$B$29)))+Annahmen!$B$13/(1-Annahmen!$B$15*(1-X6))*((Annahmen!$B$22+X7*(Annahmen!$B$31-Annahmen!$B$22))+(Annahmen!$B$26+X7*(Annahmen!$B$35-Annahmen!$B$26))+(Annahmen!$B$29+X7*(Annahmen!$B$38-Annahmen!$B$29)))+Annahmen!$B$14/(1-Annahmen!$B$15*(1-X6))*((Annahmen!$B$23+X7*(Annahmen!$B$32-Annahmen!$B$23))+(Annahmen!$B$27+X7*(Annahmen!$B$36-Annahmen!$B$27))+(Annahmen!$B$29+X7*(Annahmen!$B$38-Annahmen!$B$29)))+Annahmen!$B$15*X6*((Annahmen!$B$24+X7*(Annahmen!$B$33-Annahmen!$B$24))+(Annahmen!$B$28+X7*(Annahmen!$B$37-Annahmen!$B$28))+(Annahmen!$B$29+X7*(Annahmen!$B$38-Annahmen!$B$29)))</f>
        <v/>
      </c>
      <c r="Y8" s="22">
        <f>Annahmen!$B$12/(1-Annahmen!$B$15*(1-Y6))*((Annahmen!$B$21+Y7*(Annahmen!$B$30-Annahmen!$B$21))+(Annahmen!$B$25+Y7*(Annahmen!$B$34-Annahmen!$B$25))+(Annahmen!$B$29+Y7*(Annahmen!$B$38-Annahmen!$B$29)))+Annahmen!$B$13/(1-Annahmen!$B$15*(1-Y6))*((Annahmen!$B$22+Y7*(Annahmen!$B$31-Annahmen!$B$22))+(Annahmen!$B$26+Y7*(Annahmen!$B$35-Annahmen!$B$26))+(Annahmen!$B$29+Y7*(Annahmen!$B$38-Annahmen!$B$29)))+Annahmen!$B$14/(1-Annahmen!$B$15*(1-Y6))*((Annahmen!$B$23+Y7*(Annahmen!$B$32-Annahmen!$B$23))+(Annahmen!$B$27+Y7*(Annahmen!$B$36-Annahmen!$B$27))+(Annahmen!$B$29+Y7*(Annahmen!$B$38-Annahmen!$B$29)))+Annahmen!$B$15*Y6*((Annahmen!$B$24+Y7*(Annahmen!$B$33-Annahmen!$B$24))+(Annahmen!$B$28+Y7*(Annahmen!$B$37-Annahmen!$B$28))+(Annahmen!$B$29+Y7*(Annahmen!$B$38-Annahmen!$B$29)))</f>
        <v/>
      </c>
    </row>
    <row r="9">
      <c r="A9" s="5" t="inlineStr">
        <is>
          <t>Laufende Stunden (Bestand)</t>
        </is>
      </c>
      <c r="B9" s="22">
        <f>0*(Annahmen!$B$25+B7*(Annahmen!$B$34-Annahmen!$B$25))+0*(Annahmen!$B$26+B7*(Annahmen!$B$35-Annahmen!$B$26))+0*(Annahmen!$B$27+B7*(Annahmen!$B$36-Annahmen!$B$27))+0*(Annahmen!$B$28+B7*(Annahmen!$B$37-Annahmen!$B$28))</f>
        <v/>
      </c>
      <c r="C9" s="22">
        <f>B14*(Annahmen!$B$25+C7*(Annahmen!$B$34-Annahmen!$B$25))+B15*(Annahmen!$B$26+C7*(Annahmen!$B$35-Annahmen!$B$26))+B16*(Annahmen!$B$27+C7*(Annahmen!$B$36-Annahmen!$B$27))+B17*(Annahmen!$B$28+C7*(Annahmen!$B$37-Annahmen!$B$28))</f>
        <v/>
      </c>
      <c r="D9" s="22">
        <f>C14*(Annahmen!$B$25+D7*(Annahmen!$B$34-Annahmen!$B$25))+C15*(Annahmen!$B$26+D7*(Annahmen!$B$35-Annahmen!$B$26))+C16*(Annahmen!$B$27+D7*(Annahmen!$B$36-Annahmen!$B$27))+C17*(Annahmen!$B$28+D7*(Annahmen!$B$37-Annahmen!$B$28))</f>
        <v/>
      </c>
      <c r="E9" s="22">
        <f>D14*(Annahmen!$B$25+E7*(Annahmen!$B$34-Annahmen!$B$25))+D15*(Annahmen!$B$26+E7*(Annahmen!$B$35-Annahmen!$B$26))+D16*(Annahmen!$B$27+E7*(Annahmen!$B$36-Annahmen!$B$27))+D17*(Annahmen!$B$28+E7*(Annahmen!$B$37-Annahmen!$B$28))</f>
        <v/>
      </c>
      <c r="F9" s="22">
        <f>E14*(Annahmen!$B$25+F7*(Annahmen!$B$34-Annahmen!$B$25))+E15*(Annahmen!$B$26+F7*(Annahmen!$B$35-Annahmen!$B$26))+E16*(Annahmen!$B$27+F7*(Annahmen!$B$36-Annahmen!$B$27))+E17*(Annahmen!$B$28+F7*(Annahmen!$B$37-Annahmen!$B$28))</f>
        <v/>
      </c>
      <c r="G9" s="22">
        <f>F14*(Annahmen!$B$25+G7*(Annahmen!$B$34-Annahmen!$B$25))+F15*(Annahmen!$B$26+G7*(Annahmen!$B$35-Annahmen!$B$26))+F16*(Annahmen!$B$27+G7*(Annahmen!$B$36-Annahmen!$B$27))+F17*(Annahmen!$B$28+G7*(Annahmen!$B$37-Annahmen!$B$28))</f>
        <v/>
      </c>
      <c r="H9" s="22">
        <f>G14*(Annahmen!$B$25+H7*(Annahmen!$B$34-Annahmen!$B$25))+G15*(Annahmen!$B$26+H7*(Annahmen!$B$35-Annahmen!$B$26))+G16*(Annahmen!$B$27+H7*(Annahmen!$B$36-Annahmen!$B$27))+G17*(Annahmen!$B$28+H7*(Annahmen!$B$37-Annahmen!$B$28))</f>
        <v/>
      </c>
      <c r="I9" s="22">
        <f>H14*(Annahmen!$B$25+I7*(Annahmen!$B$34-Annahmen!$B$25))+H15*(Annahmen!$B$26+I7*(Annahmen!$B$35-Annahmen!$B$26))+H16*(Annahmen!$B$27+I7*(Annahmen!$B$36-Annahmen!$B$27))+H17*(Annahmen!$B$28+I7*(Annahmen!$B$37-Annahmen!$B$28))</f>
        <v/>
      </c>
      <c r="J9" s="22">
        <f>I14*(Annahmen!$B$25+J7*(Annahmen!$B$34-Annahmen!$B$25))+I15*(Annahmen!$B$26+J7*(Annahmen!$B$35-Annahmen!$B$26))+I16*(Annahmen!$B$27+J7*(Annahmen!$B$36-Annahmen!$B$27))+I17*(Annahmen!$B$28+J7*(Annahmen!$B$37-Annahmen!$B$28))</f>
        <v/>
      </c>
      <c r="K9" s="22">
        <f>J14*(Annahmen!$B$25+K7*(Annahmen!$B$34-Annahmen!$B$25))+J15*(Annahmen!$B$26+K7*(Annahmen!$B$35-Annahmen!$B$26))+J16*(Annahmen!$B$27+K7*(Annahmen!$B$36-Annahmen!$B$27))+J17*(Annahmen!$B$28+K7*(Annahmen!$B$37-Annahmen!$B$28))</f>
        <v/>
      </c>
      <c r="L9" s="22">
        <f>K14*(Annahmen!$B$25+L7*(Annahmen!$B$34-Annahmen!$B$25))+K15*(Annahmen!$B$26+L7*(Annahmen!$B$35-Annahmen!$B$26))+K16*(Annahmen!$B$27+L7*(Annahmen!$B$36-Annahmen!$B$27))+K17*(Annahmen!$B$28+L7*(Annahmen!$B$37-Annahmen!$B$28))</f>
        <v/>
      </c>
      <c r="M9" s="22">
        <f>L14*(Annahmen!$B$25+M7*(Annahmen!$B$34-Annahmen!$B$25))+L15*(Annahmen!$B$26+M7*(Annahmen!$B$35-Annahmen!$B$26))+L16*(Annahmen!$B$27+M7*(Annahmen!$B$36-Annahmen!$B$27))+L17*(Annahmen!$B$28+M7*(Annahmen!$B$37-Annahmen!$B$28))</f>
        <v/>
      </c>
      <c r="N9" s="22">
        <f>M14*(Annahmen!$B$25+N7*(Annahmen!$B$34-Annahmen!$B$25))+M15*(Annahmen!$B$26+N7*(Annahmen!$B$35-Annahmen!$B$26))+M16*(Annahmen!$B$27+N7*(Annahmen!$B$36-Annahmen!$B$27))+M17*(Annahmen!$B$28+N7*(Annahmen!$B$37-Annahmen!$B$28))</f>
        <v/>
      </c>
      <c r="O9" s="22">
        <f>N14*(Annahmen!$B$25+O7*(Annahmen!$B$34-Annahmen!$B$25))+N15*(Annahmen!$B$26+O7*(Annahmen!$B$35-Annahmen!$B$26))+N16*(Annahmen!$B$27+O7*(Annahmen!$B$36-Annahmen!$B$27))+N17*(Annahmen!$B$28+O7*(Annahmen!$B$37-Annahmen!$B$28))</f>
        <v/>
      </c>
      <c r="P9" s="22">
        <f>O14*(Annahmen!$B$25+P7*(Annahmen!$B$34-Annahmen!$B$25))+O15*(Annahmen!$B$26+P7*(Annahmen!$B$35-Annahmen!$B$26))+O16*(Annahmen!$B$27+P7*(Annahmen!$B$36-Annahmen!$B$27))+O17*(Annahmen!$B$28+P7*(Annahmen!$B$37-Annahmen!$B$28))</f>
        <v/>
      </c>
      <c r="Q9" s="22">
        <f>P14*(Annahmen!$B$25+Q7*(Annahmen!$B$34-Annahmen!$B$25))+P15*(Annahmen!$B$26+Q7*(Annahmen!$B$35-Annahmen!$B$26))+P16*(Annahmen!$B$27+Q7*(Annahmen!$B$36-Annahmen!$B$27))+P17*(Annahmen!$B$28+Q7*(Annahmen!$B$37-Annahmen!$B$28))</f>
        <v/>
      </c>
      <c r="R9" s="22">
        <f>Q14*(Annahmen!$B$25+R7*(Annahmen!$B$34-Annahmen!$B$25))+Q15*(Annahmen!$B$26+R7*(Annahmen!$B$35-Annahmen!$B$26))+Q16*(Annahmen!$B$27+R7*(Annahmen!$B$36-Annahmen!$B$27))+Q17*(Annahmen!$B$28+R7*(Annahmen!$B$37-Annahmen!$B$28))</f>
        <v/>
      </c>
      <c r="S9" s="22">
        <f>R14*(Annahmen!$B$25+S7*(Annahmen!$B$34-Annahmen!$B$25))+R15*(Annahmen!$B$26+S7*(Annahmen!$B$35-Annahmen!$B$26))+R16*(Annahmen!$B$27+S7*(Annahmen!$B$36-Annahmen!$B$27))+R17*(Annahmen!$B$28+S7*(Annahmen!$B$37-Annahmen!$B$28))</f>
        <v/>
      </c>
      <c r="T9" s="22">
        <f>S14*(Annahmen!$B$25+T7*(Annahmen!$B$34-Annahmen!$B$25))+S15*(Annahmen!$B$26+T7*(Annahmen!$B$35-Annahmen!$B$26))+S16*(Annahmen!$B$27+T7*(Annahmen!$B$36-Annahmen!$B$27))+S17*(Annahmen!$B$28+T7*(Annahmen!$B$37-Annahmen!$B$28))</f>
        <v/>
      </c>
      <c r="U9" s="22">
        <f>T14*(Annahmen!$B$25+U7*(Annahmen!$B$34-Annahmen!$B$25))+T15*(Annahmen!$B$26+U7*(Annahmen!$B$35-Annahmen!$B$26))+T16*(Annahmen!$B$27+U7*(Annahmen!$B$36-Annahmen!$B$27))+T17*(Annahmen!$B$28+U7*(Annahmen!$B$37-Annahmen!$B$28))</f>
        <v/>
      </c>
      <c r="V9" s="22">
        <f>U14*(Annahmen!$B$25+V7*(Annahmen!$B$34-Annahmen!$B$25))+U15*(Annahmen!$B$26+V7*(Annahmen!$B$35-Annahmen!$B$26))+U16*(Annahmen!$B$27+V7*(Annahmen!$B$36-Annahmen!$B$27))+U17*(Annahmen!$B$28+V7*(Annahmen!$B$37-Annahmen!$B$28))</f>
        <v/>
      </c>
      <c r="W9" s="22">
        <f>V14*(Annahmen!$B$25+W7*(Annahmen!$B$34-Annahmen!$B$25))+V15*(Annahmen!$B$26+W7*(Annahmen!$B$35-Annahmen!$B$26))+V16*(Annahmen!$B$27+W7*(Annahmen!$B$36-Annahmen!$B$27))+V17*(Annahmen!$B$28+W7*(Annahmen!$B$37-Annahmen!$B$28))</f>
        <v/>
      </c>
      <c r="X9" s="22">
        <f>W14*(Annahmen!$B$25+X7*(Annahmen!$B$34-Annahmen!$B$25))+W15*(Annahmen!$B$26+X7*(Annahmen!$B$35-Annahmen!$B$26))+W16*(Annahmen!$B$27+X7*(Annahmen!$B$36-Annahmen!$B$27))+W17*(Annahmen!$B$28+X7*(Annahmen!$B$37-Annahmen!$B$28))</f>
        <v/>
      </c>
      <c r="Y9" s="22">
        <f>X14*(Annahmen!$B$25+Y7*(Annahmen!$B$34-Annahmen!$B$25))+X15*(Annahmen!$B$26+Y7*(Annahmen!$B$35-Annahmen!$B$26))+X16*(Annahmen!$B$27+Y7*(Annahmen!$B$36-Annahmen!$B$27))+X17*(Annahmen!$B$28+Y7*(Annahmen!$B$37-Annahmen!$B$28))</f>
        <v/>
      </c>
    </row>
    <row r="10">
      <c r="A10" s="5" t="inlineStr">
        <is>
          <t>Möglich nach Stunden</t>
        </is>
      </c>
      <c r="B10" s="22">
        <f>MAX(0,(Annahmen!$B$41-B9)/B8)</f>
        <v/>
      </c>
      <c r="C10" s="22">
        <f>MAX(0,(Annahmen!$B$41-C9)/C8)</f>
        <v/>
      </c>
      <c r="D10" s="22">
        <f>MAX(0,(Annahmen!$B$41-D9)/D8)</f>
        <v/>
      </c>
      <c r="E10" s="22">
        <f>MAX(0,(Annahmen!$B$41-E9)/E8)</f>
        <v/>
      </c>
      <c r="F10" s="22">
        <f>MAX(0,(Annahmen!$B$41-F9)/F8)</f>
        <v/>
      </c>
      <c r="G10" s="22">
        <f>MAX(0,(Annahmen!$B$41-G9)/G8)</f>
        <v/>
      </c>
      <c r="H10" s="22">
        <f>MAX(0,(Annahmen!$B$41-H9)/H8)</f>
        <v/>
      </c>
      <c r="I10" s="22">
        <f>MAX(0,(Annahmen!$B$41-I9)/I8)</f>
        <v/>
      </c>
      <c r="J10" s="22">
        <f>MAX(0,(Annahmen!$B$41-J9)/J8)</f>
        <v/>
      </c>
      <c r="K10" s="22">
        <f>MAX(0,(Annahmen!$B$41-K9)/K8)</f>
        <v/>
      </c>
      <c r="L10" s="22">
        <f>MAX(0,(Annahmen!$B$41-L9)/L8)</f>
        <v/>
      </c>
      <c r="M10" s="22">
        <f>MAX(0,(Annahmen!$B$41-M9)/M8)</f>
        <v/>
      </c>
      <c r="N10" s="22">
        <f>MAX(0,(Annahmen!$B$41-N9)/N8)</f>
        <v/>
      </c>
      <c r="O10" s="22">
        <f>MAX(0,(Annahmen!$B$41-O9)/O8)</f>
        <v/>
      </c>
      <c r="P10" s="22">
        <f>MAX(0,(Annahmen!$B$41-P9)/P8)</f>
        <v/>
      </c>
      <c r="Q10" s="22">
        <f>MAX(0,(Annahmen!$B$41-Q9)/Q8)</f>
        <v/>
      </c>
      <c r="R10" s="22">
        <f>MAX(0,(Annahmen!$B$41-R9)/R8)</f>
        <v/>
      </c>
      <c r="S10" s="22">
        <f>MAX(0,(Annahmen!$B$41-S9)/S8)</f>
        <v/>
      </c>
      <c r="T10" s="22">
        <f>MAX(0,(Annahmen!$B$41-T9)/T8)</f>
        <v/>
      </c>
      <c r="U10" s="22">
        <f>MAX(0,(Annahmen!$B$41-U9)/U8)</f>
        <v/>
      </c>
      <c r="V10" s="22">
        <f>MAX(0,(Annahmen!$B$41-V9)/V8)</f>
        <v/>
      </c>
      <c r="W10" s="22">
        <f>MAX(0,(Annahmen!$B$41-W9)/W8)</f>
        <v/>
      </c>
      <c r="X10" s="22">
        <f>MAX(0,(Annahmen!$B$41-X9)/X8)</f>
        <v/>
      </c>
      <c r="Y10" s="22">
        <f>MAX(0,(Annahmen!$B$41-Y9)/Y8)</f>
        <v/>
      </c>
    </row>
    <row r="11">
      <c r="A11" s="7" t="inlineStr">
        <is>
          <t>Abschlüsse</t>
        </is>
      </c>
      <c r="B11" s="21">
        <f>MIN(B5,B10)</f>
        <v/>
      </c>
      <c r="C11" s="21">
        <f>MIN(C5,C10)</f>
        <v/>
      </c>
      <c r="D11" s="21">
        <f>MIN(D5,D10)</f>
        <v/>
      </c>
      <c r="E11" s="21">
        <f>MIN(E5,E10)</f>
        <v/>
      </c>
      <c r="F11" s="21">
        <f>MIN(F5,F10)</f>
        <v/>
      </c>
      <c r="G11" s="21">
        <f>MIN(G5,G10)</f>
        <v/>
      </c>
      <c r="H11" s="21">
        <f>MIN(H5,H10)</f>
        <v/>
      </c>
      <c r="I11" s="21">
        <f>MIN(I5,I10)</f>
        <v/>
      </c>
      <c r="J11" s="21">
        <f>MIN(J5,J10)</f>
        <v/>
      </c>
      <c r="K11" s="21">
        <f>MIN(K5,K10)</f>
        <v/>
      </c>
      <c r="L11" s="21">
        <f>MIN(L5,L10)</f>
        <v/>
      </c>
      <c r="M11" s="21">
        <f>MIN(M5,M10)</f>
        <v/>
      </c>
      <c r="N11" s="21">
        <f>MIN(N5,N10)</f>
        <v/>
      </c>
      <c r="O11" s="21">
        <f>MIN(O5,O10)</f>
        <v/>
      </c>
      <c r="P11" s="21">
        <f>MIN(P5,P10)</f>
        <v/>
      </c>
      <c r="Q11" s="21">
        <f>MIN(Q5,Q10)</f>
        <v/>
      </c>
      <c r="R11" s="21">
        <f>MIN(R5,R10)</f>
        <v/>
      </c>
      <c r="S11" s="21">
        <f>MIN(S5,S10)</f>
        <v/>
      </c>
      <c r="T11" s="21">
        <f>MIN(T5,T10)</f>
        <v/>
      </c>
      <c r="U11" s="21">
        <f>MIN(U5,U10)</f>
        <v/>
      </c>
      <c r="V11" s="21">
        <f>MIN(V5,V10)</f>
        <v/>
      </c>
      <c r="W11" s="21">
        <f>MIN(W5,W10)</f>
        <v/>
      </c>
      <c r="X11" s="21">
        <f>MIN(X5,X10)</f>
        <v/>
      </c>
      <c r="Y11" s="21">
        <f>MIN(Y5,Y10)</f>
        <v/>
      </c>
    </row>
    <row r="12">
      <c r="A12" s="5" t="inlineStr">
        <is>
          <t>Abschlüsse kumuliert</t>
        </is>
      </c>
      <c r="B12" s="22">
        <f>0+B11</f>
        <v/>
      </c>
      <c r="C12" s="22">
        <f>B12+C11</f>
        <v/>
      </c>
      <c r="D12" s="22">
        <f>C12+D11</f>
        <v/>
      </c>
      <c r="E12" s="22">
        <f>D12+E11</f>
        <v/>
      </c>
      <c r="F12" s="22">
        <f>E12+F11</f>
        <v/>
      </c>
      <c r="G12" s="22">
        <f>F12+G11</f>
        <v/>
      </c>
      <c r="H12" s="22">
        <f>G12+H11</f>
        <v/>
      </c>
      <c r="I12" s="22">
        <f>H12+I11</f>
        <v/>
      </c>
      <c r="J12" s="22">
        <f>I12+J11</f>
        <v/>
      </c>
      <c r="K12" s="22">
        <f>J12+K11</f>
        <v/>
      </c>
      <c r="L12" s="22">
        <f>K12+L11</f>
        <v/>
      </c>
      <c r="M12" s="22">
        <f>L12+M11</f>
        <v/>
      </c>
      <c r="N12" s="22">
        <f>M12+N11</f>
        <v/>
      </c>
      <c r="O12" s="22">
        <f>N12+O11</f>
        <v/>
      </c>
      <c r="P12" s="22">
        <f>O12+P11</f>
        <v/>
      </c>
      <c r="Q12" s="22">
        <f>P12+Q11</f>
        <v/>
      </c>
      <c r="R12" s="22">
        <f>Q12+R11</f>
        <v/>
      </c>
      <c r="S12" s="22">
        <f>R12+S11</f>
        <v/>
      </c>
      <c r="T12" s="22">
        <f>S12+T11</f>
        <v/>
      </c>
      <c r="U12" s="22">
        <f>T12+U11</f>
        <v/>
      </c>
      <c r="V12" s="22">
        <f>U12+V11</f>
        <v/>
      </c>
      <c r="W12" s="22">
        <f>V12+W11</f>
        <v/>
      </c>
      <c r="X12" s="22">
        <f>W12+X11</f>
        <v/>
      </c>
      <c r="Y12" s="22">
        <f>X12+Y11</f>
        <v/>
      </c>
    </row>
    <row r="13">
      <c r="A13" s="24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</row>
    <row r="14">
      <c r="A14" s="5" t="inlineStr">
        <is>
          <t>Aktive Pflege-Kunden</t>
        </is>
      </c>
      <c r="B14" s="22">
        <f>0*(1-Annahmen!$B$17)+B11*Annahmen!$B$12/(1-Annahmen!$B$15*(1-B6))</f>
        <v/>
      </c>
      <c r="C14" s="22">
        <f>B14*(1-Annahmen!$B$17)+C11*Annahmen!$B$12/(1-Annahmen!$B$15*(1-C6))</f>
        <v/>
      </c>
      <c r="D14" s="22">
        <f>C14*(1-Annahmen!$B$17)+D11*Annahmen!$B$12/(1-Annahmen!$B$15*(1-D6))</f>
        <v/>
      </c>
      <c r="E14" s="22">
        <f>D14*(1-Annahmen!$B$17)+E11*Annahmen!$B$12/(1-Annahmen!$B$15*(1-E6))</f>
        <v/>
      </c>
      <c r="F14" s="22">
        <f>E14*(1-Annahmen!$B$17)+F11*Annahmen!$B$12/(1-Annahmen!$B$15*(1-F6))</f>
        <v/>
      </c>
      <c r="G14" s="22">
        <f>F14*(1-Annahmen!$B$17)+G11*Annahmen!$B$12/(1-Annahmen!$B$15*(1-G6))</f>
        <v/>
      </c>
      <c r="H14" s="22">
        <f>G14*(1-Annahmen!$B$17)+H11*Annahmen!$B$12/(1-Annahmen!$B$15*(1-H6))</f>
        <v/>
      </c>
      <c r="I14" s="22">
        <f>H14*(1-Annahmen!$B$17)+I11*Annahmen!$B$12/(1-Annahmen!$B$15*(1-I6))</f>
        <v/>
      </c>
      <c r="J14" s="22">
        <f>I14*(1-Annahmen!$B$17)+J11*Annahmen!$B$12/(1-Annahmen!$B$15*(1-J6))</f>
        <v/>
      </c>
      <c r="K14" s="22">
        <f>J14*(1-Annahmen!$B$17)+K11*Annahmen!$B$12/(1-Annahmen!$B$15*(1-K6))</f>
        <v/>
      </c>
      <c r="L14" s="22">
        <f>K14*(1-Annahmen!$B$17)+L11*Annahmen!$B$12/(1-Annahmen!$B$15*(1-L6))</f>
        <v/>
      </c>
      <c r="M14" s="22">
        <f>L14*(1-Annahmen!$B$17)+M11*Annahmen!$B$12/(1-Annahmen!$B$15*(1-M6))</f>
        <v/>
      </c>
      <c r="N14" s="22">
        <f>M14*(1-Annahmen!$B$17)+N11*Annahmen!$B$12/(1-Annahmen!$B$15*(1-N6))</f>
        <v/>
      </c>
      <c r="O14" s="22">
        <f>N14*(1-Annahmen!$B$17)+O11*Annahmen!$B$12/(1-Annahmen!$B$15*(1-O6))</f>
        <v/>
      </c>
      <c r="P14" s="22">
        <f>O14*(1-Annahmen!$B$17)+P11*Annahmen!$B$12/(1-Annahmen!$B$15*(1-P6))</f>
        <v/>
      </c>
      <c r="Q14" s="22">
        <f>P14*(1-Annahmen!$B$17)+Q11*Annahmen!$B$12/(1-Annahmen!$B$15*(1-Q6))</f>
        <v/>
      </c>
      <c r="R14" s="22">
        <f>Q14*(1-Annahmen!$B$17)+R11*Annahmen!$B$12/(1-Annahmen!$B$15*(1-R6))</f>
        <v/>
      </c>
      <c r="S14" s="22">
        <f>R14*(1-Annahmen!$B$17)+S11*Annahmen!$B$12/(1-Annahmen!$B$15*(1-S6))</f>
        <v/>
      </c>
      <c r="T14" s="22">
        <f>S14*(1-Annahmen!$B$17)+T11*Annahmen!$B$12/(1-Annahmen!$B$15*(1-T6))</f>
        <v/>
      </c>
      <c r="U14" s="22">
        <f>T14*(1-Annahmen!$B$17)+U11*Annahmen!$B$12/(1-Annahmen!$B$15*(1-U6))</f>
        <v/>
      </c>
      <c r="V14" s="22">
        <f>U14*(1-Annahmen!$B$17)+V11*Annahmen!$B$12/(1-Annahmen!$B$15*(1-V6))</f>
        <v/>
      </c>
      <c r="W14" s="22">
        <f>V14*(1-Annahmen!$B$17)+W11*Annahmen!$B$12/(1-Annahmen!$B$15*(1-W6))</f>
        <v/>
      </c>
      <c r="X14" s="22">
        <f>W14*(1-Annahmen!$B$17)+X11*Annahmen!$B$12/(1-Annahmen!$B$15*(1-X6))</f>
        <v/>
      </c>
      <c r="Y14" s="22">
        <f>X14*(1-Annahmen!$B$17)+Y11*Annahmen!$B$12/(1-Annahmen!$B$15*(1-Y6))</f>
        <v/>
      </c>
    </row>
    <row r="15">
      <c r="A15" s="5" t="inlineStr">
        <is>
          <t>Aktive Programm-Kunden</t>
        </is>
      </c>
      <c r="B15" s="22">
        <f>0*(1-Annahmen!$B$18)+B11*Annahmen!$B$13/(1-Annahmen!$B$15*(1-B6))</f>
        <v/>
      </c>
      <c r="C15" s="22">
        <f>B15*(1-Annahmen!$B$18)+C11*Annahmen!$B$13/(1-Annahmen!$B$15*(1-C6))</f>
        <v/>
      </c>
      <c r="D15" s="22">
        <f>C15*(1-Annahmen!$B$18)+D11*Annahmen!$B$13/(1-Annahmen!$B$15*(1-D6))</f>
        <v/>
      </c>
      <c r="E15" s="22">
        <f>D15*(1-Annahmen!$B$18)+E11*Annahmen!$B$13/(1-Annahmen!$B$15*(1-E6))</f>
        <v/>
      </c>
      <c r="F15" s="22">
        <f>E15*(1-Annahmen!$B$18)+F11*Annahmen!$B$13/(1-Annahmen!$B$15*(1-F6))</f>
        <v/>
      </c>
      <c r="G15" s="22">
        <f>F15*(1-Annahmen!$B$18)+G11*Annahmen!$B$13/(1-Annahmen!$B$15*(1-G6))</f>
        <v/>
      </c>
      <c r="H15" s="22">
        <f>G15*(1-Annahmen!$B$18)+H11*Annahmen!$B$13/(1-Annahmen!$B$15*(1-H6))</f>
        <v/>
      </c>
      <c r="I15" s="22">
        <f>H15*(1-Annahmen!$B$18)+I11*Annahmen!$B$13/(1-Annahmen!$B$15*(1-I6))</f>
        <v/>
      </c>
      <c r="J15" s="22">
        <f>I15*(1-Annahmen!$B$18)+J11*Annahmen!$B$13/(1-Annahmen!$B$15*(1-J6))</f>
        <v/>
      </c>
      <c r="K15" s="22">
        <f>J15*(1-Annahmen!$B$18)+K11*Annahmen!$B$13/(1-Annahmen!$B$15*(1-K6))</f>
        <v/>
      </c>
      <c r="L15" s="22">
        <f>K15*(1-Annahmen!$B$18)+L11*Annahmen!$B$13/(1-Annahmen!$B$15*(1-L6))</f>
        <v/>
      </c>
      <c r="M15" s="22">
        <f>L15*(1-Annahmen!$B$18)+M11*Annahmen!$B$13/(1-Annahmen!$B$15*(1-M6))</f>
        <v/>
      </c>
      <c r="N15" s="22">
        <f>M15*(1-Annahmen!$B$18)+N11*Annahmen!$B$13/(1-Annahmen!$B$15*(1-N6))</f>
        <v/>
      </c>
      <c r="O15" s="22">
        <f>N15*(1-Annahmen!$B$18)+O11*Annahmen!$B$13/(1-Annahmen!$B$15*(1-O6))</f>
        <v/>
      </c>
      <c r="P15" s="22">
        <f>O15*(1-Annahmen!$B$18)+P11*Annahmen!$B$13/(1-Annahmen!$B$15*(1-P6))</f>
        <v/>
      </c>
      <c r="Q15" s="22">
        <f>P15*(1-Annahmen!$B$18)+Q11*Annahmen!$B$13/(1-Annahmen!$B$15*(1-Q6))</f>
        <v/>
      </c>
      <c r="R15" s="22">
        <f>Q15*(1-Annahmen!$B$18)+R11*Annahmen!$B$13/(1-Annahmen!$B$15*(1-R6))</f>
        <v/>
      </c>
      <c r="S15" s="22">
        <f>R15*(1-Annahmen!$B$18)+S11*Annahmen!$B$13/(1-Annahmen!$B$15*(1-S6))</f>
        <v/>
      </c>
      <c r="T15" s="22">
        <f>S15*(1-Annahmen!$B$18)+T11*Annahmen!$B$13/(1-Annahmen!$B$15*(1-T6))</f>
        <v/>
      </c>
      <c r="U15" s="22">
        <f>T15*(1-Annahmen!$B$18)+U11*Annahmen!$B$13/(1-Annahmen!$B$15*(1-U6))</f>
        <v/>
      </c>
      <c r="V15" s="22">
        <f>U15*(1-Annahmen!$B$18)+V11*Annahmen!$B$13/(1-Annahmen!$B$15*(1-V6))</f>
        <v/>
      </c>
      <c r="W15" s="22">
        <f>V15*(1-Annahmen!$B$18)+W11*Annahmen!$B$13/(1-Annahmen!$B$15*(1-W6))</f>
        <v/>
      </c>
      <c r="X15" s="22">
        <f>W15*(1-Annahmen!$B$18)+X11*Annahmen!$B$13/(1-Annahmen!$B$15*(1-X6))</f>
        <v/>
      </c>
      <c r="Y15" s="22">
        <f>X15*(1-Annahmen!$B$18)+Y11*Annahmen!$B$13/(1-Annahmen!$B$15*(1-Y6))</f>
        <v/>
      </c>
    </row>
    <row r="16">
      <c r="A16" s="5" t="inlineStr">
        <is>
          <t>Aktive SEO-Kunden</t>
        </is>
      </c>
      <c r="B16" s="22">
        <f>0*(1-Annahmen!$B$19)+B11*Annahmen!$B$14/(1-Annahmen!$B$15*(1-B6))</f>
        <v/>
      </c>
      <c r="C16" s="22">
        <f>B16*(1-Annahmen!$B$19)+C11*Annahmen!$B$14/(1-Annahmen!$B$15*(1-C6))</f>
        <v/>
      </c>
      <c r="D16" s="22">
        <f>C16*(1-Annahmen!$B$19)+D11*Annahmen!$B$14/(1-Annahmen!$B$15*(1-D6))</f>
        <v/>
      </c>
      <c r="E16" s="22">
        <f>D16*(1-Annahmen!$B$19)+E11*Annahmen!$B$14/(1-Annahmen!$B$15*(1-E6))</f>
        <v/>
      </c>
      <c r="F16" s="22">
        <f>E16*(1-Annahmen!$B$19)+F11*Annahmen!$B$14/(1-Annahmen!$B$15*(1-F6))</f>
        <v/>
      </c>
      <c r="G16" s="22">
        <f>F16*(1-Annahmen!$B$19)+G11*Annahmen!$B$14/(1-Annahmen!$B$15*(1-G6))</f>
        <v/>
      </c>
      <c r="H16" s="22">
        <f>G16*(1-Annahmen!$B$19)+H11*Annahmen!$B$14/(1-Annahmen!$B$15*(1-H6))</f>
        <v/>
      </c>
      <c r="I16" s="22">
        <f>H16*(1-Annahmen!$B$19)+I11*Annahmen!$B$14/(1-Annahmen!$B$15*(1-I6))</f>
        <v/>
      </c>
      <c r="J16" s="22">
        <f>I16*(1-Annahmen!$B$19)+J11*Annahmen!$B$14/(1-Annahmen!$B$15*(1-J6))</f>
        <v/>
      </c>
      <c r="K16" s="22">
        <f>J16*(1-Annahmen!$B$19)+K11*Annahmen!$B$14/(1-Annahmen!$B$15*(1-K6))</f>
        <v/>
      </c>
      <c r="L16" s="22">
        <f>K16*(1-Annahmen!$B$19)+L11*Annahmen!$B$14/(1-Annahmen!$B$15*(1-L6))</f>
        <v/>
      </c>
      <c r="M16" s="22">
        <f>L16*(1-Annahmen!$B$19)+M11*Annahmen!$B$14/(1-Annahmen!$B$15*(1-M6))</f>
        <v/>
      </c>
      <c r="N16" s="22">
        <f>M16*(1-Annahmen!$B$19)+N11*Annahmen!$B$14/(1-Annahmen!$B$15*(1-N6))</f>
        <v/>
      </c>
      <c r="O16" s="22">
        <f>N16*(1-Annahmen!$B$19)+O11*Annahmen!$B$14/(1-Annahmen!$B$15*(1-O6))</f>
        <v/>
      </c>
      <c r="P16" s="22">
        <f>O16*(1-Annahmen!$B$19)+P11*Annahmen!$B$14/(1-Annahmen!$B$15*(1-P6))</f>
        <v/>
      </c>
      <c r="Q16" s="22">
        <f>P16*(1-Annahmen!$B$19)+Q11*Annahmen!$B$14/(1-Annahmen!$B$15*(1-Q6))</f>
        <v/>
      </c>
      <c r="R16" s="22">
        <f>Q16*(1-Annahmen!$B$19)+R11*Annahmen!$B$14/(1-Annahmen!$B$15*(1-R6))</f>
        <v/>
      </c>
      <c r="S16" s="22">
        <f>R16*(1-Annahmen!$B$19)+S11*Annahmen!$B$14/(1-Annahmen!$B$15*(1-S6))</f>
        <v/>
      </c>
      <c r="T16" s="22">
        <f>S16*(1-Annahmen!$B$19)+T11*Annahmen!$B$14/(1-Annahmen!$B$15*(1-T6))</f>
        <v/>
      </c>
      <c r="U16" s="22">
        <f>T16*(1-Annahmen!$B$19)+U11*Annahmen!$B$14/(1-Annahmen!$B$15*(1-U6))</f>
        <v/>
      </c>
      <c r="V16" s="22">
        <f>U16*(1-Annahmen!$B$19)+V11*Annahmen!$B$14/(1-Annahmen!$B$15*(1-V6))</f>
        <v/>
      </c>
      <c r="W16" s="22">
        <f>V16*(1-Annahmen!$B$19)+W11*Annahmen!$B$14/(1-Annahmen!$B$15*(1-W6))</f>
        <v/>
      </c>
      <c r="X16" s="22">
        <f>W16*(1-Annahmen!$B$19)+X11*Annahmen!$B$14/(1-Annahmen!$B$15*(1-X6))</f>
        <v/>
      </c>
      <c r="Y16" s="22">
        <f>X16*(1-Annahmen!$B$19)+Y11*Annahmen!$B$14/(1-Annahmen!$B$15*(1-Y6))</f>
        <v/>
      </c>
    </row>
    <row r="17">
      <c r="A17" s="5" t="inlineStr">
        <is>
          <t>Aktive Recruiting-Kunden</t>
        </is>
      </c>
      <c r="B17" s="22">
        <f>0*(1-Annahmen!$B$20)+B11*Annahmen!$B$15*B6</f>
        <v/>
      </c>
      <c r="C17" s="22">
        <f>B17*(1-Annahmen!$B$20)+C11*Annahmen!$B$15*C6</f>
        <v/>
      </c>
      <c r="D17" s="22">
        <f>C17*(1-Annahmen!$B$20)+D11*Annahmen!$B$15*D6</f>
        <v/>
      </c>
      <c r="E17" s="22">
        <f>D17*(1-Annahmen!$B$20)+E11*Annahmen!$B$15*E6</f>
        <v/>
      </c>
      <c r="F17" s="22">
        <f>E17*(1-Annahmen!$B$20)+F11*Annahmen!$B$15*F6</f>
        <v/>
      </c>
      <c r="G17" s="22">
        <f>F17*(1-Annahmen!$B$20)+G11*Annahmen!$B$15*G6</f>
        <v/>
      </c>
      <c r="H17" s="22">
        <f>G17*(1-Annahmen!$B$20)+H11*Annahmen!$B$15*H6</f>
        <v/>
      </c>
      <c r="I17" s="22">
        <f>H17*(1-Annahmen!$B$20)+I11*Annahmen!$B$15*I6</f>
        <v/>
      </c>
      <c r="J17" s="22">
        <f>I17*(1-Annahmen!$B$20)+J11*Annahmen!$B$15*J6</f>
        <v/>
      </c>
      <c r="K17" s="22">
        <f>J17*(1-Annahmen!$B$20)+K11*Annahmen!$B$15*K6</f>
        <v/>
      </c>
      <c r="L17" s="22">
        <f>K17*(1-Annahmen!$B$20)+L11*Annahmen!$B$15*L6</f>
        <v/>
      </c>
      <c r="M17" s="22">
        <f>L17*(1-Annahmen!$B$20)+M11*Annahmen!$B$15*M6</f>
        <v/>
      </c>
      <c r="N17" s="22">
        <f>M17*(1-Annahmen!$B$20)+N11*Annahmen!$B$15*N6</f>
        <v/>
      </c>
      <c r="O17" s="22">
        <f>N17*(1-Annahmen!$B$20)+O11*Annahmen!$B$15*O6</f>
        <v/>
      </c>
      <c r="P17" s="22">
        <f>O17*(1-Annahmen!$B$20)+P11*Annahmen!$B$15*P6</f>
        <v/>
      </c>
      <c r="Q17" s="22">
        <f>P17*(1-Annahmen!$B$20)+Q11*Annahmen!$B$15*Q6</f>
        <v/>
      </c>
      <c r="R17" s="22">
        <f>Q17*(1-Annahmen!$B$20)+R11*Annahmen!$B$15*R6</f>
        <v/>
      </c>
      <c r="S17" s="22">
        <f>R17*(1-Annahmen!$B$20)+S11*Annahmen!$B$15*S6</f>
        <v/>
      </c>
      <c r="T17" s="22">
        <f>S17*(1-Annahmen!$B$20)+T11*Annahmen!$B$15*T6</f>
        <v/>
      </c>
      <c r="U17" s="22">
        <f>T17*(1-Annahmen!$B$20)+U11*Annahmen!$B$15*U6</f>
        <v/>
      </c>
      <c r="V17" s="22">
        <f>U17*(1-Annahmen!$B$20)+V11*Annahmen!$B$15*V6</f>
        <v/>
      </c>
      <c r="W17" s="22">
        <f>V17*(1-Annahmen!$B$20)+W11*Annahmen!$B$15*W6</f>
        <v/>
      </c>
      <c r="X17" s="22">
        <f>W17*(1-Annahmen!$B$20)+X11*Annahmen!$B$15*X6</f>
        <v/>
      </c>
      <c r="Y17" s="22">
        <f>X17*(1-Annahmen!$B$20)+Y11*Annahmen!$B$15*Y6</f>
        <v/>
      </c>
    </row>
    <row r="18">
      <c r="A18" s="24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  <c r="T18" s="24" t="n"/>
      <c r="U18" s="24" t="n"/>
      <c r="V18" s="24" t="n"/>
      <c r="W18" s="24" t="n"/>
      <c r="X18" s="24" t="n"/>
      <c r="Y18" s="24" t="n"/>
    </row>
    <row r="19">
      <c r="A19" s="7" t="inlineStr">
        <is>
          <t>MRR</t>
        </is>
      </c>
      <c r="B19" s="25">
        <f>B14*Annahmen!$B$6+B15*Annahmen!$B$7+B16*Annahmen!$B$9+B17*Annahmen!$B$10</f>
        <v/>
      </c>
      <c r="C19" s="25">
        <f>C14*Annahmen!$B$6+C15*Annahmen!$B$7+C16*Annahmen!$B$9+C17*Annahmen!$B$10</f>
        <v/>
      </c>
      <c r="D19" s="25">
        <f>D14*Annahmen!$B$6+D15*Annahmen!$B$7+D16*Annahmen!$B$9+D17*Annahmen!$B$10</f>
        <v/>
      </c>
      <c r="E19" s="25">
        <f>E14*Annahmen!$B$6+E15*Annahmen!$B$7+E16*Annahmen!$B$9+E17*Annahmen!$B$10</f>
        <v/>
      </c>
      <c r="F19" s="25">
        <f>F14*Annahmen!$B$6+F15*Annahmen!$B$7+F16*Annahmen!$B$9+F17*Annahmen!$B$10</f>
        <v/>
      </c>
      <c r="G19" s="25">
        <f>G14*Annahmen!$B$6+G15*Annahmen!$B$7+G16*Annahmen!$B$9+G17*Annahmen!$B$10</f>
        <v/>
      </c>
      <c r="H19" s="25">
        <f>H14*Annahmen!$B$6+H15*Annahmen!$B$7+H16*Annahmen!$B$9+H17*Annahmen!$B$10</f>
        <v/>
      </c>
      <c r="I19" s="25">
        <f>I14*Annahmen!$B$6+I15*Annahmen!$B$7+I16*Annahmen!$B$9+I17*Annahmen!$B$10</f>
        <v/>
      </c>
      <c r="J19" s="25">
        <f>J14*Annahmen!$B$6+J15*Annahmen!$B$7+J16*Annahmen!$B$9+J17*Annahmen!$B$10</f>
        <v/>
      </c>
      <c r="K19" s="25">
        <f>K14*Annahmen!$B$6+K15*Annahmen!$B$7+K16*Annahmen!$B$9+K17*Annahmen!$B$10</f>
        <v/>
      </c>
      <c r="L19" s="25">
        <f>L14*Annahmen!$B$6+L15*Annahmen!$B$7+L16*Annahmen!$B$9+L17*Annahmen!$B$10</f>
        <v/>
      </c>
      <c r="M19" s="25">
        <f>M14*Annahmen!$B$6+M15*Annahmen!$B$7+M16*Annahmen!$B$9+M17*Annahmen!$B$10</f>
        <v/>
      </c>
      <c r="N19" s="25">
        <f>N14*Annahmen!$B$6+N15*Annahmen!$B$7+N16*Annahmen!$B$9+N17*Annahmen!$B$10</f>
        <v/>
      </c>
      <c r="O19" s="25">
        <f>O14*Annahmen!$B$6+O15*Annahmen!$B$7+O16*Annahmen!$B$9+O17*Annahmen!$B$10</f>
        <v/>
      </c>
      <c r="P19" s="25">
        <f>P14*Annahmen!$B$6+P15*Annahmen!$B$7+P16*Annahmen!$B$9+P17*Annahmen!$B$10</f>
        <v/>
      </c>
      <c r="Q19" s="25">
        <f>Q14*Annahmen!$B$6+Q15*Annahmen!$B$7+Q16*Annahmen!$B$9+Q17*Annahmen!$B$10</f>
        <v/>
      </c>
      <c r="R19" s="25">
        <f>R14*Annahmen!$B$6+R15*Annahmen!$B$7+R16*Annahmen!$B$9+R17*Annahmen!$B$10</f>
        <v/>
      </c>
      <c r="S19" s="25">
        <f>S14*Annahmen!$B$6+S15*Annahmen!$B$7+S16*Annahmen!$B$9+S17*Annahmen!$B$10</f>
        <v/>
      </c>
      <c r="T19" s="25">
        <f>T14*Annahmen!$B$6+T15*Annahmen!$B$7+T16*Annahmen!$B$9+T17*Annahmen!$B$10</f>
        <v/>
      </c>
      <c r="U19" s="25">
        <f>U14*Annahmen!$B$6+U15*Annahmen!$B$7+U16*Annahmen!$B$9+U17*Annahmen!$B$10</f>
        <v/>
      </c>
      <c r="V19" s="25">
        <f>V14*Annahmen!$B$6+V15*Annahmen!$B$7+V16*Annahmen!$B$9+V17*Annahmen!$B$10</f>
        <v/>
      </c>
      <c r="W19" s="25">
        <f>W14*Annahmen!$B$6+W15*Annahmen!$B$7+W16*Annahmen!$B$9+W17*Annahmen!$B$10</f>
        <v/>
      </c>
      <c r="X19" s="25">
        <f>X14*Annahmen!$B$6+X15*Annahmen!$B$7+X16*Annahmen!$B$9+X17*Annahmen!$B$10</f>
        <v/>
      </c>
      <c r="Y19" s="25">
        <f>Y14*Annahmen!$B$6+Y15*Annahmen!$B$7+Y16*Annahmen!$B$9+Y17*Annahmen!$B$10</f>
        <v/>
      </c>
    </row>
    <row r="20">
      <c r="A20" s="5" t="inlineStr">
        <is>
          <t>Einmalumsatz</t>
        </is>
      </c>
      <c r="B20" s="26">
        <f>B11*(Annahmen!$B$12/(1-Annahmen!$B$15*(1-B6))*Annahmen!$B$5+Annahmen!$B$13/(1-Annahmen!$B$15*(1-B6))*Annahmen!$B$8+Annahmen!$B$15*B6*Annahmen!$B$11)</f>
        <v/>
      </c>
      <c r="C20" s="26">
        <f>C11*(Annahmen!$B$12/(1-Annahmen!$B$15*(1-C6))*Annahmen!$B$5+Annahmen!$B$13/(1-Annahmen!$B$15*(1-C6))*Annahmen!$B$8+Annahmen!$B$15*C6*Annahmen!$B$11)</f>
        <v/>
      </c>
      <c r="D20" s="26">
        <f>D11*(Annahmen!$B$12/(1-Annahmen!$B$15*(1-D6))*Annahmen!$B$5+Annahmen!$B$13/(1-Annahmen!$B$15*(1-D6))*Annahmen!$B$8+Annahmen!$B$15*D6*Annahmen!$B$11)</f>
        <v/>
      </c>
      <c r="E20" s="26">
        <f>E11*(Annahmen!$B$12/(1-Annahmen!$B$15*(1-E6))*Annahmen!$B$5+Annahmen!$B$13/(1-Annahmen!$B$15*(1-E6))*Annahmen!$B$8+Annahmen!$B$15*E6*Annahmen!$B$11)</f>
        <v/>
      </c>
      <c r="F20" s="26">
        <f>F11*(Annahmen!$B$12/(1-Annahmen!$B$15*(1-F6))*Annahmen!$B$5+Annahmen!$B$13/(1-Annahmen!$B$15*(1-F6))*Annahmen!$B$8+Annahmen!$B$15*F6*Annahmen!$B$11)</f>
        <v/>
      </c>
      <c r="G20" s="26">
        <f>G11*(Annahmen!$B$12/(1-Annahmen!$B$15*(1-G6))*Annahmen!$B$5+Annahmen!$B$13/(1-Annahmen!$B$15*(1-G6))*Annahmen!$B$8+Annahmen!$B$15*G6*Annahmen!$B$11)</f>
        <v/>
      </c>
      <c r="H20" s="26">
        <f>H11*(Annahmen!$B$12/(1-Annahmen!$B$15*(1-H6))*Annahmen!$B$5+Annahmen!$B$13/(1-Annahmen!$B$15*(1-H6))*Annahmen!$B$8+Annahmen!$B$15*H6*Annahmen!$B$11)</f>
        <v/>
      </c>
      <c r="I20" s="26">
        <f>I11*(Annahmen!$B$12/(1-Annahmen!$B$15*(1-I6))*Annahmen!$B$5+Annahmen!$B$13/(1-Annahmen!$B$15*(1-I6))*Annahmen!$B$8+Annahmen!$B$15*I6*Annahmen!$B$11)</f>
        <v/>
      </c>
      <c r="J20" s="26">
        <f>J11*(Annahmen!$B$12/(1-Annahmen!$B$15*(1-J6))*Annahmen!$B$5+Annahmen!$B$13/(1-Annahmen!$B$15*(1-J6))*Annahmen!$B$8+Annahmen!$B$15*J6*Annahmen!$B$11)</f>
        <v/>
      </c>
      <c r="K20" s="26">
        <f>K11*(Annahmen!$B$12/(1-Annahmen!$B$15*(1-K6))*Annahmen!$B$5+Annahmen!$B$13/(1-Annahmen!$B$15*(1-K6))*Annahmen!$B$8+Annahmen!$B$15*K6*Annahmen!$B$11)</f>
        <v/>
      </c>
      <c r="L20" s="26">
        <f>L11*(Annahmen!$B$12/(1-Annahmen!$B$15*(1-L6))*Annahmen!$B$5+Annahmen!$B$13/(1-Annahmen!$B$15*(1-L6))*Annahmen!$B$8+Annahmen!$B$15*L6*Annahmen!$B$11)</f>
        <v/>
      </c>
      <c r="M20" s="26">
        <f>M11*(Annahmen!$B$12/(1-Annahmen!$B$15*(1-M6))*Annahmen!$B$5+Annahmen!$B$13/(1-Annahmen!$B$15*(1-M6))*Annahmen!$B$8+Annahmen!$B$15*M6*Annahmen!$B$11)</f>
        <v/>
      </c>
      <c r="N20" s="26">
        <f>N11*(Annahmen!$B$12/(1-Annahmen!$B$15*(1-N6))*Annahmen!$B$5+Annahmen!$B$13/(1-Annahmen!$B$15*(1-N6))*Annahmen!$B$8+Annahmen!$B$15*N6*Annahmen!$B$11)</f>
        <v/>
      </c>
      <c r="O20" s="26">
        <f>O11*(Annahmen!$B$12/(1-Annahmen!$B$15*(1-O6))*Annahmen!$B$5+Annahmen!$B$13/(1-Annahmen!$B$15*(1-O6))*Annahmen!$B$8+Annahmen!$B$15*O6*Annahmen!$B$11)</f>
        <v/>
      </c>
      <c r="P20" s="26">
        <f>P11*(Annahmen!$B$12/(1-Annahmen!$B$15*(1-P6))*Annahmen!$B$5+Annahmen!$B$13/(1-Annahmen!$B$15*(1-P6))*Annahmen!$B$8+Annahmen!$B$15*P6*Annahmen!$B$11)</f>
        <v/>
      </c>
      <c r="Q20" s="26">
        <f>Q11*(Annahmen!$B$12/(1-Annahmen!$B$15*(1-Q6))*Annahmen!$B$5+Annahmen!$B$13/(1-Annahmen!$B$15*(1-Q6))*Annahmen!$B$8+Annahmen!$B$15*Q6*Annahmen!$B$11)</f>
        <v/>
      </c>
      <c r="R20" s="26">
        <f>R11*(Annahmen!$B$12/(1-Annahmen!$B$15*(1-R6))*Annahmen!$B$5+Annahmen!$B$13/(1-Annahmen!$B$15*(1-R6))*Annahmen!$B$8+Annahmen!$B$15*R6*Annahmen!$B$11)</f>
        <v/>
      </c>
      <c r="S20" s="26">
        <f>S11*(Annahmen!$B$12/(1-Annahmen!$B$15*(1-S6))*Annahmen!$B$5+Annahmen!$B$13/(1-Annahmen!$B$15*(1-S6))*Annahmen!$B$8+Annahmen!$B$15*S6*Annahmen!$B$11)</f>
        <v/>
      </c>
      <c r="T20" s="26">
        <f>T11*(Annahmen!$B$12/(1-Annahmen!$B$15*(1-T6))*Annahmen!$B$5+Annahmen!$B$13/(1-Annahmen!$B$15*(1-T6))*Annahmen!$B$8+Annahmen!$B$15*T6*Annahmen!$B$11)</f>
        <v/>
      </c>
      <c r="U20" s="26">
        <f>U11*(Annahmen!$B$12/(1-Annahmen!$B$15*(1-U6))*Annahmen!$B$5+Annahmen!$B$13/(1-Annahmen!$B$15*(1-U6))*Annahmen!$B$8+Annahmen!$B$15*U6*Annahmen!$B$11)</f>
        <v/>
      </c>
      <c r="V20" s="26">
        <f>V11*(Annahmen!$B$12/(1-Annahmen!$B$15*(1-V6))*Annahmen!$B$5+Annahmen!$B$13/(1-Annahmen!$B$15*(1-V6))*Annahmen!$B$8+Annahmen!$B$15*V6*Annahmen!$B$11)</f>
        <v/>
      </c>
      <c r="W20" s="26">
        <f>W11*(Annahmen!$B$12/(1-Annahmen!$B$15*(1-W6))*Annahmen!$B$5+Annahmen!$B$13/(1-Annahmen!$B$15*(1-W6))*Annahmen!$B$8+Annahmen!$B$15*W6*Annahmen!$B$11)</f>
        <v/>
      </c>
      <c r="X20" s="26">
        <f>X11*(Annahmen!$B$12/(1-Annahmen!$B$15*(1-X6))*Annahmen!$B$5+Annahmen!$B$13/(1-Annahmen!$B$15*(1-X6))*Annahmen!$B$8+Annahmen!$B$15*X6*Annahmen!$B$11)</f>
        <v/>
      </c>
      <c r="Y20" s="26">
        <f>Y11*(Annahmen!$B$12/(1-Annahmen!$B$15*(1-Y6))*Annahmen!$B$5+Annahmen!$B$13/(1-Annahmen!$B$15*(1-Y6))*Annahmen!$B$8+Annahmen!$B$15*Y6*Annahmen!$B$11)</f>
        <v/>
      </c>
    </row>
    <row r="21">
      <c r="A21" s="7" t="inlineStr">
        <is>
          <t>Umsatz</t>
        </is>
      </c>
      <c r="B21" s="25">
        <f>B19+B20</f>
        <v/>
      </c>
      <c r="C21" s="25">
        <f>C19+C20</f>
        <v/>
      </c>
      <c r="D21" s="25">
        <f>D19+D20</f>
        <v/>
      </c>
      <c r="E21" s="25">
        <f>E19+E20</f>
        <v/>
      </c>
      <c r="F21" s="25">
        <f>F19+F20</f>
        <v/>
      </c>
      <c r="G21" s="25">
        <f>G19+G20</f>
        <v/>
      </c>
      <c r="H21" s="25">
        <f>H19+H20</f>
        <v/>
      </c>
      <c r="I21" s="25">
        <f>I19+I20</f>
        <v/>
      </c>
      <c r="J21" s="25">
        <f>J19+J20</f>
        <v/>
      </c>
      <c r="K21" s="25">
        <f>K19+K20</f>
        <v/>
      </c>
      <c r="L21" s="25">
        <f>L19+L20</f>
        <v/>
      </c>
      <c r="M21" s="25">
        <f>M19+M20</f>
        <v/>
      </c>
      <c r="N21" s="25">
        <f>N19+N20</f>
        <v/>
      </c>
      <c r="O21" s="25">
        <f>O19+O20</f>
        <v/>
      </c>
      <c r="P21" s="25">
        <f>P19+P20</f>
        <v/>
      </c>
      <c r="Q21" s="25">
        <f>Q19+Q20</f>
        <v/>
      </c>
      <c r="R21" s="25">
        <f>R19+R20</f>
        <v/>
      </c>
      <c r="S21" s="25">
        <f>S19+S20</f>
        <v/>
      </c>
      <c r="T21" s="25">
        <f>T19+T20</f>
        <v/>
      </c>
      <c r="U21" s="25">
        <f>U19+U20</f>
        <v/>
      </c>
      <c r="V21" s="25">
        <f>V19+V20</f>
        <v/>
      </c>
      <c r="W21" s="25">
        <f>W19+W20</f>
        <v/>
      </c>
      <c r="X21" s="25">
        <f>X19+X20</f>
        <v/>
      </c>
      <c r="Y21" s="25">
        <f>Y19+Y20</f>
        <v/>
      </c>
    </row>
    <row r="22">
      <c r="A22" s="5" t="inlineStr">
        <is>
          <t>Kosten</t>
        </is>
      </c>
      <c r="B22" s="26">
        <f>Annahmen!$B$42+Annahmen!$B$43+B7*Annahmen!$B$40</f>
        <v/>
      </c>
      <c r="C22" s="26">
        <f>Annahmen!$B$42+Annahmen!$B$43+C7*Annahmen!$B$40</f>
        <v/>
      </c>
      <c r="D22" s="26">
        <f>Annahmen!$B$42+Annahmen!$B$43+D7*Annahmen!$B$40</f>
        <v/>
      </c>
      <c r="E22" s="26">
        <f>Annahmen!$B$42+Annahmen!$B$43+E7*Annahmen!$B$40</f>
        <v/>
      </c>
      <c r="F22" s="26">
        <f>Annahmen!$B$42+Annahmen!$B$43+F7*Annahmen!$B$40</f>
        <v/>
      </c>
      <c r="G22" s="26">
        <f>Annahmen!$B$42+Annahmen!$B$43+G7*Annahmen!$B$40</f>
        <v/>
      </c>
      <c r="H22" s="26">
        <f>Annahmen!$B$42+Annahmen!$B$43+H7*Annahmen!$B$40</f>
        <v/>
      </c>
      <c r="I22" s="26">
        <f>Annahmen!$B$42+Annahmen!$B$43+I7*Annahmen!$B$40</f>
        <v/>
      </c>
      <c r="J22" s="26">
        <f>Annahmen!$B$42+Annahmen!$B$43+J7*Annahmen!$B$40</f>
        <v/>
      </c>
      <c r="K22" s="26">
        <f>Annahmen!$B$42+Annahmen!$B$43+K7*Annahmen!$B$40</f>
        <v/>
      </c>
      <c r="L22" s="26">
        <f>Annahmen!$B$42+Annahmen!$B$43+L7*Annahmen!$B$40</f>
        <v/>
      </c>
      <c r="M22" s="26">
        <f>Annahmen!$B$42+Annahmen!$B$43+M7*Annahmen!$B$40</f>
        <v/>
      </c>
      <c r="N22" s="26">
        <f>Annahmen!$B$42+Annahmen!$B$43+N7*Annahmen!$B$40</f>
        <v/>
      </c>
      <c r="O22" s="26">
        <f>Annahmen!$B$42+Annahmen!$B$43+O7*Annahmen!$B$40</f>
        <v/>
      </c>
      <c r="P22" s="26">
        <f>Annahmen!$B$42+Annahmen!$B$43+P7*Annahmen!$B$40</f>
        <v/>
      </c>
      <c r="Q22" s="26">
        <f>Annahmen!$B$42+Annahmen!$B$43+Q7*Annahmen!$B$40</f>
        <v/>
      </c>
      <c r="R22" s="26">
        <f>Annahmen!$B$42+Annahmen!$B$43+R7*Annahmen!$B$40</f>
        <v/>
      </c>
      <c r="S22" s="26">
        <f>Annahmen!$B$42+Annahmen!$B$43+S7*Annahmen!$B$40</f>
        <v/>
      </c>
      <c r="T22" s="26">
        <f>Annahmen!$B$42+Annahmen!$B$43+T7*Annahmen!$B$40</f>
        <v/>
      </c>
      <c r="U22" s="26">
        <f>Annahmen!$B$42+Annahmen!$B$43+U7*Annahmen!$B$40</f>
        <v/>
      </c>
      <c r="V22" s="26">
        <f>Annahmen!$B$42+Annahmen!$B$43+V7*Annahmen!$B$40</f>
        <v/>
      </c>
      <c r="W22" s="26">
        <f>Annahmen!$B$42+Annahmen!$B$43+W7*Annahmen!$B$40</f>
        <v/>
      </c>
      <c r="X22" s="26">
        <f>Annahmen!$B$42+Annahmen!$B$43+X7*Annahmen!$B$40</f>
        <v/>
      </c>
      <c r="Y22" s="26">
        <f>Annahmen!$B$42+Annahmen!$B$43+Y7*Annahmen!$B$40</f>
        <v/>
      </c>
    </row>
    <row r="23">
      <c r="A23" s="7" t="inlineStr">
        <is>
          <t>Ergebnis vor Steuern (= Einkommen Gründer)</t>
        </is>
      </c>
      <c r="B23" s="25">
        <f>B21-B22</f>
        <v/>
      </c>
      <c r="C23" s="25">
        <f>C21-C22</f>
        <v/>
      </c>
      <c r="D23" s="25">
        <f>D21-D22</f>
        <v/>
      </c>
      <c r="E23" s="25">
        <f>E21-E22</f>
        <v/>
      </c>
      <c r="F23" s="25">
        <f>F21-F22</f>
        <v/>
      </c>
      <c r="G23" s="25">
        <f>G21-G22</f>
        <v/>
      </c>
      <c r="H23" s="25">
        <f>H21-H22</f>
        <v/>
      </c>
      <c r="I23" s="25">
        <f>I21-I22</f>
        <v/>
      </c>
      <c r="J23" s="25">
        <f>J21-J22</f>
        <v/>
      </c>
      <c r="K23" s="25">
        <f>K21-K22</f>
        <v/>
      </c>
      <c r="L23" s="25">
        <f>L21-L22</f>
        <v/>
      </c>
      <c r="M23" s="25">
        <f>M21-M22</f>
        <v/>
      </c>
      <c r="N23" s="25">
        <f>N21-N22</f>
        <v/>
      </c>
      <c r="O23" s="25">
        <f>O21-O22</f>
        <v/>
      </c>
      <c r="P23" s="25">
        <f>P21-P22</f>
        <v/>
      </c>
      <c r="Q23" s="25">
        <f>Q21-Q22</f>
        <v/>
      </c>
      <c r="R23" s="25">
        <f>R21-R22</f>
        <v/>
      </c>
      <c r="S23" s="25">
        <f>S21-S22</f>
        <v/>
      </c>
      <c r="T23" s="25">
        <f>T21-T22</f>
        <v/>
      </c>
      <c r="U23" s="25">
        <f>U21-U22</f>
        <v/>
      </c>
      <c r="V23" s="25">
        <f>V21-V22</f>
        <v/>
      </c>
      <c r="W23" s="25">
        <f>W21-W22</f>
        <v/>
      </c>
      <c r="X23" s="25">
        <f>X21-X22</f>
        <v/>
      </c>
      <c r="Y23" s="25">
        <f>Y21-Y22</f>
        <v/>
      </c>
    </row>
    <row r="24">
      <c r="A24" s="7" t="inlineStr">
        <is>
          <t>Kasse kumuliert</t>
        </is>
      </c>
      <c r="B24" s="16">
        <f>B23</f>
        <v/>
      </c>
      <c r="C24" s="16">
        <f>B24+C23</f>
        <v/>
      </c>
      <c r="D24" s="16">
        <f>C24+D23</f>
        <v/>
      </c>
      <c r="E24" s="16">
        <f>D24+E23</f>
        <v/>
      </c>
      <c r="F24" s="16">
        <f>E24+F23</f>
        <v/>
      </c>
      <c r="G24" s="16">
        <f>F24+G23</f>
        <v/>
      </c>
      <c r="H24" s="16">
        <f>G24+H23</f>
        <v/>
      </c>
      <c r="I24" s="16">
        <f>H24+I23</f>
        <v/>
      </c>
      <c r="J24" s="16">
        <f>I24+J23</f>
        <v/>
      </c>
      <c r="K24" s="16">
        <f>J24+K23</f>
        <v/>
      </c>
      <c r="L24" s="16">
        <f>K24+L23</f>
        <v/>
      </c>
      <c r="M24" s="16">
        <f>L24+M23</f>
        <v/>
      </c>
      <c r="N24" s="16">
        <f>M24+N23</f>
        <v/>
      </c>
      <c r="O24" s="16">
        <f>N24+O23</f>
        <v/>
      </c>
      <c r="P24" s="16">
        <f>O24+P23</f>
        <v/>
      </c>
      <c r="Q24" s="16">
        <f>P24+Q23</f>
        <v/>
      </c>
      <c r="R24" s="16">
        <f>Q24+R23</f>
        <v/>
      </c>
      <c r="S24" s="16">
        <f>R24+S23</f>
        <v/>
      </c>
      <c r="T24" s="16">
        <f>S24+T23</f>
        <v/>
      </c>
      <c r="U24" s="16">
        <f>T24+U23</f>
        <v/>
      </c>
      <c r="V24" s="16">
        <f>U24+V23</f>
        <v/>
      </c>
      <c r="W24" s="16">
        <f>V24+W23</f>
        <v/>
      </c>
      <c r="X24" s="16">
        <f>W24+X23</f>
        <v/>
      </c>
      <c r="Y24" s="16">
        <f>X24+Y23</f>
        <v/>
      </c>
    </row>
    <row r="25">
      <c r="A25" s="5" t="inlineStr">
        <is>
          <t>Belegte Stunden</t>
        </is>
      </c>
      <c r="B25" s="22">
        <f>B9+B11*B8</f>
        <v/>
      </c>
      <c r="C25" s="22">
        <f>C9+C11*C8</f>
        <v/>
      </c>
      <c r="D25" s="22">
        <f>D9+D11*D8</f>
        <v/>
      </c>
      <c r="E25" s="22">
        <f>E9+E11*E8</f>
        <v/>
      </c>
      <c r="F25" s="22">
        <f>F9+F11*F8</f>
        <v/>
      </c>
      <c r="G25" s="22">
        <f>G9+G11*G8</f>
        <v/>
      </c>
      <c r="H25" s="22">
        <f>H9+H11*H8</f>
        <v/>
      </c>
      <c r="I25" s="22">
        <f>I9+I11*I8</f>
        <v/>
      </c>
      <c r="J25" s="22">
        <f>J9+J11*J8</f>
        <v/>
      </c>
      <c r="K25" s="22">
        <f>K9+K11*K8</f>
        <v/>
      </c>
      <c r="L25" s="22">
        <f>L9+L11*L8</f>
        <v/>
      </c>
      <c r="M25" s="22">
        <f>M9+M11*M8</f>
        <v/>
      </c>
      <c r="N25" s="22">
        <f>N9+N11*N8</f>
        <v/>
      </c>
      <c r="O25" s="22">
        <f>O9+O11*O8</f>
        <v/>
      </c>
      <c r="P25" s="22">
        <f>P9+P11*P8</f>
        <v/>
      </c>
      <c r="Q25" s="22">
        <f>Q9+Q11*Q8</f>
        <v/>
      </c>
      <c r="R25" s="22">
        <f>R9+R11*R8</f>
        <v/>
      </c>
      <c r="S25" s="22">
        <f>S9+S11*S8</f>
        <v/>
      </c>
      <c r="T25" s="22">
        <f>T9+T11*T8</f>
        <v/>
      </c>
      <c r="U25" s="22">
        <f>U9+U11*U8</f>
        <v/>
      </c>
      <c r="V25" s="22">
        <f>V9+V11*V8</f>
        <v/>
      </c>
      <c r="W25" s="22">
        <f>W9+W11*W8</f>
        <v/>
      </c>
      <c r="X25" s="22">
        <f>X9+X11*X8</f>
        <v/>
      </c>
      <c r="Y25" s="22">
        <f>Y9+Y11*Y8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Solo-Plan · Szenario Basis · von Hand (24 Monate ab Nov 2026)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</row>
    <row r="2">
      <c r="A2" s="3" t="inlineStr">
        <is>
          <t>Abschlüsse = Minimum aus Vertriebstempo und freien Stunden. Kundenzahlen sind Erwartungswerte.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</row>
    <row r="4">
      <c r="A4" s="4" t="inlineStr">
        <is>
          <t>Monat</t>
        </is>
      </c>
      <c r="B4" s="4" t="inlineStr">
        <is>
          <t>Nov 26</t>
        </is>
      </c>
      <c r="C4" s="4" t="inlineStr">
        <is>
          <t>Dez 26</t>
        </is>
      </c>
      <c r="D4" s="4" t="inlineStr">
        <is>
          <t>Jan 27</t>
        </is>
      </c>
      <c r="E4" s="4" t="inlineStr">
        <is>
          <t>Feb 27</t>
        </is>
      </c>
      <c r="F4" s="4" t="inlineStr">
        <is>
          <t>Mär 27</t>
        </is>
      </c>
      <c r="G4" s="4" t="inlineStr">
        <is>
          <t>Apr 27</t>
        </is>
      </c>
      <c r="H4" s="4" t="inlineStr">
        <is>
          <t>Mai 27</t>
        </is>
      </c>
      <c r="I4" s="4" t="inlineStr">
        <is>
          <t>Jun 27</t>
        </is>
      </c>
      <c r="J4" s="4" t="inlineStr">
        <is>
          <t>Jul 27</t>
        </is>
      </c>
      <c r="K4" s="4" t="inlineStr">
        <is>
          <t>Aug 27</t>
        </is>
      </c>
      <c r="L4" s="4" t="inlineStr">
        <is>
          <t>Sep 27</t>
        </is>
      </c>
      <c r="M4" s="4" t="inlineStr">
        <is>
          <t>Okt 27</t>
        </is>
      </c>
      <c r="N4" s="4" t="inlineStr">
        <is>
          <t>Nov 27</t>
        </is>
      </c>
      <c r="O4" s="4" t="inlineStr">
        <is>
          <t>Dez 27</t>
        </is>
      </c>
      <c r="P4" s="4" t="inlineStr">
        <is>
          <t>Jan 28</t>
        </is>
      </c>
      <c r="Q4" s="4" t="inlineStr">
        <is>
          <t>Feb 28</t>
        </is>
      </c>
      <c r="R4" s="4" t="inlineStr">
        <is>
          <t>Mär 28</t>
        </is>
      </c>
      <c r="S4" s="4" t="inlineStr">
        <is>
          <t>Apr 28</t>
        </is>
      </c>
      <c r="T4" s="4" t="inlineStr">
        <is>
          <t>Mai 28</t>
        </is>
      </c>
      <c r="U4" s="4" t="inlineStr">
        <is>
          <t>Jun 28</t>
        </is>
      </c>
      <c r="V4" s="4" t="inlineStr">
        <is>
          <t>Jul 28</t>
        </is>
      </c>
      <c r="W4" s="4" t="inlineStr">
        <is>
          <t>Aug 28</t>
        </is>
      </c>
      <c r="X4" s="4" t="inlineStr">
        <is>
          <t>Sep 28</t>
        </is>
      </c>
      <c r="Y4" s="4" t="inlineStr">
        <is>
          <t>Okt 28</t>
        </is>
      </c>
    </row>
    <row r="5">
      <c r="A5" s="5" t="inlineStr">
        <is>
          <t>Abschluss-Ziel (Vertrieb)</t>
        </is>
      </c>
      <c r="B5" s="22">
        <f>Annahmen!$C$48</f>
        <v/>
      </c>
      <c r="C5" s="22">
        <f>Annahmen!$C$48</f>
        <v/>
      </c>
      <c r="D5" s="22">
        <f>Annahmen!$C$49</f>
        <v/>
      </c>
      <c r="E5" s="22">
        <f>Annahmen!$C$49</f>
        <v/>
      </c>
      <c r="F5" s="22">
        <f>Annahmen!$C$49</f>
        <v/>
      </c>
      <c r="G5" s="22">
        <f>Annahmen!$C$49</f>
        <v/>
      </c>
      <c r="H5" s="22">
        <f>Annahmen!$C$49</f>
        <v/>
      </c>
      <c r="I5" s="22">
        <f>Annahmen!$C$49</f>
        <v/>
      </c>
      <c r="J5" s="22">
        <f>Annahmen!$C$49</f>
        <v/>
      </c>
      <c r="K5" s="22">
        <f>Annahmen!$C$49</f>
        <v/>
      </c>
      <c r="L5" s="22">
        <f>Annahmen!$C$49</f>
        <v/>
      </c>
      <c r="M5" s="22">
        <f>Annahmen!$C$49</f>
        <v/>
      </c>
      <c r="N5" s="22">
        <f>Annahmen!$C$49</f>
        <v/>
      </c>
      <c r="O5" s="22">
        <f>Annahmen!$C$49</f>
        <v/>
      </c>
      <c r="P5" s="22">
        <f>Annahmen!$C$49</f>
        <v/>
      </c>
      <c r="Q5" s="22">
        <f>Annahmen!$C$49</f>
        <v/>
      </c>
      <c r="R5" s="22">
        <f>Annahmen!$C$49</f>
        <v/>
      </c>
      <c r="S5" s="22">
        <f>Annahmen!$C$49</f>
        <v/>
      </c>
      <c r="T5" s="22">
        <f>Annahmen!$C$49</f>
        <v/>
      </c>
      <c r="U5" s="22">
        <f>Annahmen!$C$49</f>
        <v/>
      </c>
      <c r="V5" s="22">
        <f>Annahmen!$C$49</f>
        <v/>
      </c>
      <c r="W5" s="22">
        <f>Annahmen!$C$49</f>
        <v/>
      </c>
      <c r="X5" s="22">
        <f>Annahmen!$C$49</f>
        <v/>
      </c>
      <c r="Y5" s="22">
        <f>Annahmen!$C$49</f>
        <v/>
      </c>
    </row>
    <row r="6">
      <c r="A6" s="5" t="inlineStr">
        <is>
          <t>Recruiting im Verkauf (1 = ja)</t>
        </is>
      </c>
      <c r="B6" s="23">
        <f>IF(1&gt;=Annahmen!$B$16,1,0)</f>
        <v/>
      </c>
      <c r="C6" s="23">
        <f>IF(2&gt;=Annahmen!$B$16,1,0)</f>
        <v/>
      </c>
      <c r="D6" s="23">
        <f>IF(3&gt;=Annahmen!$B$16,1,0)</f>
        <v/>
      </c>
      <c r="E6" s="23">
        <f>IF(4&gt;=Annahmen!$B$16,1,0)</f>
        <v/>
      </c>
      <c r="F6" s="23">
        <f>IF(5&gt;=Annahmen!$B$16,1,0)</f>
        <v/>
      </c>
      <c r="G6" s="23">
        <f>IF(6&gt;=Annahmen!$B$16,1,0)</f>
        <v/>
      </c>
      <c r="H6" s="23">
        <f>IF(7&gt;=Annahmen!$B$16,1,0)</f>
        <v/>
      </c>
      <c r="I6" s="23">
        <f>IF(8&gt;=Annahmen!$B$16,1,0)</f>
        <v/>
      </c>
      <c r="J6" s="23">
        <f>IF(9&gt;=Annahmen!$B$16,1,0)</f>
        <v/>
      </c>
      <c r="K6" s="23">
        <f>IF(10&gt;=Annahmen!$B$16,1,0)</f>
        <v/>
      </c>
      <c r="L6" s="23">
        <f>IF(11&gt;=Annahmen!$B$16,1,0)</f>
        <v/>
      </c>
      <c r="M6" s="23">
        <f>IF(12&gt;=Annahmen!$B$16,1,0)</f>
        <v/>
      </c>
      <c r="N6" s="23">
        <f>IF(13&gt;=Annahmen!$B$16,1,0)</f>
        <v/>
      </c>
      <c r="O6" s="23">
        <f>IF(14&gt;=Annahmen!$B$16,1,0)</f>
        <v/>
      </c>
      <c r="P6" s="23">
        <f>IF(15&gt;=Annahmen!$B$16,1,0)</f>
        <v/>
      </c>
      <c r="Q6" s="23">
        <f>IF(16&gt;=Annahmen!$B$16,1,0)</f>
        <v/>
      </c>
      <c r="R6" s="23">
        <f>IF(17&gt;=Annahmen!$B$16,1,0)</f>
        <v/>
      </c>
      <c r="S6" s="23">
        <f>IF(18&gt;=Annahmen!$B$16,1,0)</f>
        <v/>
      </c>
      <c r="T6" s="23">
        <f>IF(19&gt;=Annahmen!$B$16,1,0)</f>
        <v/>
      </c>
      <c r="U6" s="23">
        <f>IF(20&gt;=Annahmen!$B$16,1,0)</f>
        <v/>
      </c>
      <c r="V6" s="23">
        <f>IF(21&gt;=Annahmen!$B$16,1,0)</f>
        <v/>
      </c>
      <c r="W6" s="23">
        <f>IF(22&gt;=Annahmen!$B$16,1,0)</f>
        <v/>
      </c>
      <c r="X6" s="23">
        <f>IF(23&gt;=Annahmen!$B$16,1,0)</f>
        <v/>
      </c>
      <c r="Y6" s="23">
        <f>IF(24&gt;=Annahmen!$B$16,1,0)</f>
        <v/>
      </c>
    </row>
    <row r="7">
      <c r="A7" s="5" t="inlineStr">
        <is>
          <t>Automatisierung aktiv (1 = ja)</t>
        </is>
      </c>
      <c r="B7" s="23">
        <f>0</f>
        <v/>
      </c>
      <c r="C7" s="23">
        <f>0</f>
        <v/>
      </c>
      <c r="D7" s="23">
        <f>0</f>
        <v/>
      </c>
      <c r="E7" s="23">
        <f>0</f>
        <v/>
      </c>
      <c r="F7" s="23">
        <f>0</f>
        <v/>
      </c>
      <c r="G7" s="23">
        <f>0</f>
        <v/>
      </c>
      <c r="H7" s="23">
        <f>0</f>
        <v/>
      </c>
      <c r="I7" s="23">
        <f>0</f>
        <v/>
      </c>
      <c r="J7" s="23">
        <f>0</f>
        <v/>
      </c>
      <c r="K7" s="23">
        <f>0</f>
        <v/>
      </c>
      <c r="L7" s="23">
        <f>0</f>
        <v/>
      </c>
      <c r="M7" s="23">
        <f>0</f>
        <v/>
      </c>
      <c r="N7" s="23">
        <f>0</f>
        <v/>
      </c>
      <c r="O7" s="23">
        <f>0</f>
        <v/>
      </c>
      <c r="P7" s="23">
        <f>0</f>
        <v/>
      </c>
      <c r="Q7" s="23">
        <f>0</f>
        <v/>
      </c>
      <c r="R7" s="23">
        <f>0</f>
        <v/>
      </c>
      <c r="S7" s="23">
        <f>0</f>
        <v/>
      </c>
      <c r="T7" s="23">
        <f>0</f>
        <v/>
      </c>
      <c r="U7" s="23">
        <f>0</f>
        <v/>
      </c>
      <c r="V7" s="23">
        <f>0</f>
        <v/>
      </c>
      <c r="W7" s="23">
        <f>0</f>
        <v/>
      </c>
      <c r="X7" s="23">
        <f>0</f>
        <v/>
      </c>
      <c r="Y7" s="23">
        <f>0</f>
        <v/>
      </c>
    </row>
    <row r="8">
      <c r="A8" s="5" t="inlineStr">
        <is>
          <t>Std. je neuem Abschluss</t>
        </is>
      </c>
      <c r="B8" s="22">
        <f>Annahmen!$B$12/(1-Annahmen!$B$15*(1-B6))*((Annahmen!$B$21+B7*(Annahmen!$B$30-Annahmen!$B$21))+(Annahmen!$B$25+B7*(Annahmen!$B$34-Annahmen!$B$25))+(Annahmen!$B$29+B7*(Annahmen!$B$38-Annahmen!$B$29)))+Annahmen!$B$13/(1-Annahmen!$B$15*(1-B6))*((Annahmen!$B$22+B7*(Annahmen!$B$31-Annahmen!$B$22))+(Annahmen!$B$26+B7*(Annahmen!$B$35-Annahmen!$B$26))+(Annahmen!$B$29+B7*(Annahmen!$B$38-Annahmen!$B$29)))+Annahmen!$B$14/(1-Annahmen!$B$15*(1-B6))*((Annahmen!$B$23+B7*(Annahmen!$B$32-Annahmen!$B$23))+(Annahmen!$B$27+B7*(Annahmen!$B$36-Annahmen!$B$27))+(Annahmen!$B$29+B7*(Annahmen!$B$38-Annahmen!$B$29)))+Annahmen!$B$15*B6*((Annahmen!$B$24+B7*(Annahmen!$B$33-Annahmen!$B$24))+(Annahmen!$B$28+B7*(Annahmen!$B$37-Annahmen!$B$28))+(Annahmen!$B$29+B7*(Annahmen!$B$38-Annahmen!$B$29)))</f>
        <v/>
      </c>
      <c r="C8" s="22">
        <f>Annahmen!$B$12/(1-Annahmen!$B$15*(1-C6))*((Annahmen!$B$21+C7*(Annahmen!$B$30-Annahmen!$B$21))+(Annahmen!$B$25+C7*(Annahmen!$B$34-Annahmen!$B$25))+(Annahmen!$B$29+C7*(Annahmen!$B$38-Annahmen!$B$29)))+Annahmen!$B$13/(1-Annahmen!$B$15*(1-C6))*((Annahmen!$B$22+C7*(Annahmen!$B$31-Annahmen!$B$22))+(Annahmen!$B$26+C7*(Annahmen!$B$35-Annahmen!$B$26))+(Annahmen!$B$29+C7*(Annahmen!$B$38-Annahmen!$B$29)))+Annahmen!$B$14/(1-Annahmen!$B$15*(1-C6))*((Annahmen!$B$23+C7*(Annahmen!$B$32-Annahmen!$B$23))+(Annahmen!$B$27+C7*(Annahmen!$B$36-Annahmen!$B$27))+(Annahmen!$B$29+C7*(Annahmen!$B$38-Annahmen!$B$29)))+Annahmen!$B$15*C6*((Annahmen!$B$24+C7*(Annahmen!$B$33-Annahmen!$B$24))+(Annahmen!$B$28+C7*(Annahmen!$B$37-Annahmen!$B$28))+(Annahmen!$B$29+C7*(Annahmen!$B$38-Annahmen!$B$29)))</f>
        <v/>
      </c>
      <c r="D8" s="22">
        <f>Annahmen!$B$12/(1-Annahmen!$B$15*(1-D6))*((Annahmen!$B$21+D7*(Annahmen!$B$30-Annahmen!$B$21))+(Annahmen!$B$25+D7*(Annahmen!$B$34-Annahmen!$B$25))+(Annahmen!$B$29+D7*(Annahmen!$B$38-Annahmen!$B$29)))+Annahmen!$B$13/(1-Annahmen!$B$15*(1-D6))*((Annahmen!$B$22+D7*(Annahmen!$B$31-Annahmen!$B$22))+(Annahmen!$B$26+D7*(Annahmen!$B$35-Annahmen!$B$26))+(Annahmen!$B$29+D7*(Annahmen!$B$38-Annahmen!$B$29)))+Annahmen!$B$14/(1-Annahmen!$B$15*(1-D6))*((Annahmen!$B$23+D7*(Annahmen!$B$32-Annahmen!$B$23))+(Annahmen!$B$27+D7*(Annahmen!$B$36-Annahmen!$B$27))+(Annahmen!$B$29+D7*(Annahmen!$B$38-Annahmen!$B$29)))+Annahmen!$B$15*D6*((Annahmen!$B$24+D7*(Annahmen!$B$33-Annahmen!$B$24))+(Annahmen!$B$28+D7*(Annahmen!$B$37-Annahmen!$B$28))+(Annahmen!$B$29+D7*(Annahmen!$B$38-Annahmen!$B$29)))</f>
        <v/>
      </c>
      <c r="E8" s="22">
        <f>Annahmen!$B$12/(1-Annahmen!$B$15*(1-E6))*((Annahmen!$B$21+E7*(Annahmen!$B$30-Annahmen!$B$21))+(Annahmen!$B$25+E7*(Annahmen!$B$34-Annahmen!$B$25))+(Annahmen!$B$29+E7*(Annahmen!$B$38-Annahmen!$B$29)))+Annahmen!$B$13/(1-Annahmen!$B$15*(1-E6))*((Annahmen!$B$22+E7*(Annahmen!$B$31-Annahmen!$B$22))+(Annahmen!$B$26+E7*(Annahmen!$B$35-Annahmen!$B$26))+(Annahmen!$B$29+E7*(Annahmen!$B$38-Annahmen!$B$29)))+Annahmen!$B$14/(1-Annahmen!$B$15*(1-E6))*((Annahmen!$B$23+E7*(Annahmen!$B$32-Annahmen!$B$23))+(Annahmen!$B$27+E7*(Annahmen!$B$36-Annahmen!$B$27))+(Annahmen!$B$29+E7*(Annahmen!$B$38-Annahmen!$B$29)))+Annahmen!$B$15*E6*((Annahmen!$B$24+E7*(Annahmen!$B$33-Annahmen!$B$24))+(Annahmen!$B$28+E7*(Annahmen!$B$37-Annahmen!$B$28))+(Annahmen!$B$29+E7*(Annahmen!$B$38-Annahmen!$B$29)))</f>
        <v/>
      </c>
      <c r="F8" s="22">
        <f>Annahmen!$B$12/(1-Annahmen!$B$15*(1-F6))*((Annahmen!$B$21+F7*(Annahmen!$B$30-Annahmen!$B$21))+(Annahmen!$B$25+F7*(Annahmen!$B$34-Annahmen!$B$25))+(Annahmen!$B$29+F7*(Annahmen!$B$38-Annahmen!$B$29)))+Annahmen!$B$13/(1-Annahmen!$B$15*(1-F6))*((Annahmen!$B$22+F7*(Annahmen!$B$31-Annahmen!$B$22))+(Annahmen!$B$26+F7*(Annahmen!$B$35-Annahmen!$B$26))+(Annahmen!$B$29+F7*(Annahmen!$B$38-Annahmen!$B$29)))+Annahmen!$B$14/(1-Annahmen!$B$15*(1-F6))*((Annahmen!$B$23+F7*(Annahmen!$B$32-Annahmen!$B$23))+(Annahmen!$B$27+F7*(Annahmen!$B$36-Annahmen!$B$27))+(Annahmen!$B$29+F7*(Annahmen!$B$38-Annahmen!$B$29)))+Annahmen!$B$15*F6*((Annahmen!$B$24+F7*(Annahmen!$B$33-Annahmen!$B$24))+(Annahmen!$B$28+F7*(Annahmen!$B$37-Annahmen!$B$28))+(Annahmen!$B$29+F7*(Annahmen!$B$38-Annahmen!$B$29)))</f>
        <v/>
      </c>
      <c r="G8" s="22">
        <f>Annahmen!$B$12/(1-Annahmen!$B$15*(1-G6))*((Annahmen!$B$21+G7*(Annahmen!$B$30-Annahmen!$B$21))+(Annahmen!$B$25+G7*(Annahmen!$B$34-Annahmen!$B$25))+(Annahmen!$B$29+G7*(Annahmen!$B$38-Annahmen!$B$29)))+Annahmen!$B$13/(1-Annahmen!$B$15*(1-G6))*((Annahmen!$B$22+G7*(Annahmen!$B$31-Annahmen!$B$22))+(Annahmen!$B$26+G7*(Annahmen!$B$35-Annahmen!$B$26))+(Annahmen!$B$29+G7*(Annahmen!$B$38-Annahmen!$B$29)))+Annahmen!$B$14/(1-Annahmen!$B$15*(1-G6))*((Annahmen!$B$23+G7*(Annahmen!$B$32-Annahmen!$B$23))+(Annahmen!$B$27+G7*(Annahmen!$B$36-Annahmen!$B$27))+(Annahmen!$B$29+G7*(Annahmen!$B$38-Annahmen!$B$29)))+Annahmen!$B$15*G6*((Annahmen!$B$24+G7*(Annahmen!$B$33-Annahmen!$B$24))+(Annahmen!$B$28+G7*(Annahmen!$B$37-Annahmen!$B$28))+(Annahmen!$B$29+G7*(Annahmen!$B$38-Annahmen!$B$29)))</f>
        <v/>
      </c>
      <c r="H8" s="22">
        <f>Annahmen!$B$12/(1-Annahmen!$B$15*(1-H6))*((Annahmen!$B$21+H7*(Annahmen!$B$30-Annahmen!$B$21))+(Annahmen!$B$25+H7*(Annahmen!$B$34-Annahmen!$B$25))+(Annahmen!$B$29+H7*(Annahmen!$B$38-Annahmen!$B$29)))+Annahmen!$B$13/(1-Annahmen!$B$15*(1-H6))*((Annahmen!$B$22+H7*(Annahmen!$B$31-Annahmen!$B$22))+(Annahmen!$B$26+H7*(Annahmen!$B$35-Annahmen!$B$26))+(Annahmen!$B$29+H7*(Annahmen!$B$38-Annahmen!$B$29)))+Annahmen!$B$14/(1-Annahmen!$B$15*(1-H6))*((Annahmen!$B$23+H7*(Annahmen!$B$32-Annahmen!$B$23))+(Annahmen!$B$27+H7*(Annahmen!$B$36-Annahmen!$B$27))+(Annahmen!$B$29+H7*(Annahmen!$B$38-Annahmen!$B$29)))+Annahmen!$B$15*H6*((Annahmen!$B$24+H7*(Annahmen!$B$33-Annahmen!$B$24))+(Annahmen!$B$28+H7*(Annahmen!$B$37-Annahmen!$B$28))+(Annahmen!$B$29+H7*(Annahmen!$B$38-Annahmen!$B$29)))</f>
        <v/>
      </c>
      <c r="I8" s="22">
        <f>Annahmen!$B$12/(1-Annahmen!$B$15*(1-I6))*((Annahmen!$B$21+I7*(Annahmen!$B$30-Annahmen!$B$21))+(Annahmen!$B$25+I7*(Annahmen!$B$34-Annahmen!$B$25))+(Annahmen!$B$29+I7*(Annahmen!$B$38-Annahmen!$B$29)))+Annahmen!$B$13/(1-Annahmen!$B$15*(1-I6))*((Annahmen!$B$22+I7*(Annahmen!$B$31-Annahmen!$B$22))+(Annahmen!$B$26+I7*(Annahmen!$B$35-Annahmen!$B$26))+(Annahmen!$B$29+I7*(Annahmen!$B$38-Annahmen!$B$29)))+Annahmen!$B$14/(1-Annahmen!$B$15*(1-I6))*((Annahmen!$B$23+I7*(Annahmen!$B$32-Annahmen!$B$23))+(Annahmen!$B$27+I7*(Annahmen!$B$36-Annahmen!$B$27))+(Annahmen!$B$29+I7*(Annahmen!$B$38-Annahmen!$B$29)))+Annahmen!$B$15*I6*((Annahmen!$B$24+I7*(Annahmen!$B$33-Annahmen!$B$24))+(Annahmen!$B$28+I7*(Annahmen!$B$37-Annahmen!$B$28))+(Annahmen!$B$29+I7*(Annahmen!$B$38-Annahmen!$B$29)))</f>
        <v/>
      </c>
      <c r="J8" s="22">
        <f>Annahmen!$B$12/(1-Annahmen!$B$15*(1-J6))*((Annahmen!$B$21+J7*(Annahmen!$B$30-Annahmen!$B$21))+(Annahmen!$B$25+J7*(Annahmen!$B$34-Annahmen!$B$25))+(Annahmen!$B$29+J7*(Annahmen!$B$38-Annahmen!$B$29)))+Annahmen!$B$13/(1-Annahmen!$B$15*(1-J6))*((Annahmen!$B$22+J7*(Annahmen!$B$31-Annahmen!$B$22))+(Annahmen!$B$26+J7*(Annahmen!$B$35-Annahmen!$B$26))+(Annahmen!$B$29+J7*(Annahmen!$B$38-Annahmen!$B$29)))+Annahmen!$B$14/(1-Annahmen!$B$15*(1-J6))*((Annahmen!$B$23+J7*(Annahmen!$B$32-Annahmen!$B$23))+(Annahmen!$B$27+J7*(Annahmen!$B$36-Annahmen!$B$27))+(Annahmen!$B$29+J7*(Annahmen!$B$38-Annahmen!$B$29)))+Annahmen!$B$15*J6*((Annahmen!$B$24+J7*(Annahmen!$B$33-Annahmen!$B$24))+(Annahmen!$B$28+J7*(Annahmen!$B$37-Annahmen!$B$28))+(Annahmen!$B$29+J7*(Annahmen!$B$38-Annahmen!$B$29)))</f>
        <v/>
      </c>
      <c r="K8" s="22">
        <f>Annahmen!$B$12/(1-Annahmen!$B$15*(1-K6))*((Annahmen!$B$21+K7*(Annahmen!$B$30-Annahmen!$B$21))+(Annahmen!$B$25+K7*(Annahmen!$B$34-Annahmen!$B$25))+(Annahmen!$B$29+K7*(Annahmen!$B$38-Annahmen!$B$29)))+Annahmen!$B$13/(1-Annahmen!$B$15*(1-K6))*((Annahmen!$B$22+K7*(Annahmen!$B$31-Annahmen!$B$22))+(Annahmen!$B$26+K7*(Annahmen!$B$35-Annahmen!$B$26))+(Annahmen!$B$29+K7*(Annahmen!$B$38-Annahmen!$B$29)))+Annahmen!$B$14/(1-Annahmen!$B$15*(1-K6))*((Annahmen!$B$23+K7*(Annahmen!$B$32-Annahmen!$B$23))+(Annahmen!$B$27+K7*(Annahmen!$B$36-Annahmen!$B$27))+(Annahmen!$B$29+K7*(Annahmen!$B$38-Annahmen!$B$29)))+Annahmen!$B$15*K6*((Annahmen!$B$24+K7*(Annahmen!$B$33-Annahmen!$B$24))+(Annahmen!$B$28+K7*(Annahmen!$B$37-Annahmen!$B$28))+(Annahmen!$B$29+K7*(Annahmen!$B$38-Annahmen!$B$29)))</f>
        <v/>
      </c>
      <c r="L8" s="22">
        <f>Annahmen!$B$12/(1-Annahmen!$B$15*(1-L6))*((Annahmen!$B$21+L7*(Annahmen!$B$30-Annahmen!$B$21))+(Annahmen!$B$25+L7*(Annahmen!$B$34-Annahmen!$B$25))+(Annahmen!$B$29+L7*(Annahmen!$B$38-Annahmen!$B$29)))+Annahmen!$B$13/(1-Annahmen!$B$15*(1-L6))*((Annahmen!$B$22+L7*(Annahmen!$B$31-Annahmen!$B$22))+(Annahmen!$B$26+L7*(Annahmen!$B$35-Annahmen!$B$26))+(Annahmen!$B$29+L7*(Annahmen!$B$38-Annahmen!$B$29)))+Annahmen!$B$14/(1-Annahmen!$B$15*(1-L6))*((Annahmen!$B$23+L7*(Annahmen!$B$32-Annahmen!$B$23))+(Annahmen!$B$27+L7*(Annahmen!$B$36-Annahmen!$B$27))+(Annahmen!$B$29+L7*(Annahmen!$B$38-Annahmen!$B$29)))+Annahmen!$B$15*L6*((Annahmen!$B$24+L7*(Annahmen!$B$33-Annahmen!$B$24))+(Annahmen!$B$28+L7*(Annahmen!$B$37-Annahmen!$B$28))+(Annahmen!$B$29+L7*(Annahmen!$B$38-Annahmen!$B$29)))</f>
        <v/>
      </c>
      <c r="M8" s="22">
        <f>Annahmen!$B$12/(1-Annahmen!$B$15*(1-M6))*((Annahmen!$B$21+M7*(Annahmen!$B$30-Annahmen!$B$21))+(Annahmen!$B$25+M7*(Annahmen!$B$34-Annahmen!$B$25))+(Annahmen!$B$29+M7*(Annahmen!$B$38-Annahmen!$B$29)))+Annahmen!$B$13/(1-Annahmen!$B$15*(1-M6))*((Annahmen!$B$22+M7*(Annahmen!$B$31-Annahmen!$B$22))+(Annahmen!$B$26+M7*(Annahmen!$B$35-Annahmen!$B$26))+(Annahmen!$B$29+M7*(Annahmen!$B$38-Annahmen!$B$29)))+Annahmen!$B$14/(1-Annahmen!$B$15*(1-M6))*((Annahmen!$B$23+M7*(Annahmen!$B$32-Annahmen!$B$23))+(Annahmen!$B$27+M7*(Annahmen!$B$36-Annahmen!$B$27))+(Annahmen!$B$29+M7*(Annahmen!$B$38-Annahmen!$B$29)))+Annahmen!$B$15*M6*((Annahmen!$B$24+M7*(Annahmen!$B$33-Annahmen!$B$24))+(Annahmen!$B$28+M7*(Annahmen!$B$37-Annahmen!$B$28))+(Annahmen!$B$29+M7*(Annahmen!$B$38-Annahmen!$B$29)))</f>
        <v/>
      </c>
      <c r="N8" s="22">
        <f>Annahmen!$B$12/(1-Annahmen!$B$15*(1-N6))*((Annahmen!$B$21+N7*(Annahmen!$B$30-Annahmen!$B$21))+(Annahmen!$B$25+N7*(Annahmen!$B$34-Annahmen!$B$25))+(Annahmen!$B$29+N7*(Annahmen!$B$38-Annahmen!$B$29)))+Annahmen!$B$13/(1-Annahmen!$B$15*(1-N6))*((Annahmen!$B$22+N7*(Annahmen!$B$31-Annahmen!$B$22))+(Annahmen!$B$26+N7*(Annahmen!$B$35-Annahmen!$B$26))+(Annahmen!$B$29+N7*(Annahmen!$B$38-Annahmen!$B$29)))+Annahmen!$B$14/(1-Annahmen!$B$15*(1-N6))*((Annahmen!$B$23+N7*(Annahmen!$B$32-Annahmen!$B$23))+(Annahmen!$B$27+N7*(Annahmen!$B$36-Annahmen!$B$27))+(Annahmen!$B$29+N7*(Annahmen!$B$38-Annahmen!$B$29)))+Annahmen!$B$15*N6*((Annahmen!$B$24+N7*(Annahmen!$B$33-Annahmen!$B$24))+(Annahmen!$B$28+N7*(Annahmen!$B$37-Annahmen!$B$28))+(Annahmen!$B$29+N7*(Annahmen!$B$38-Annahmen!$B$29)))</f>
        <v/>
      </c>
      <c r="O8" s="22">
        <f>Annahmen!$B$12/(1-Annahmen!$B$15*(1-O6))*((Annahmen!$B$21+O7*(Annahmen!$B$30-Annahmen!$B$21))+(Annahmen!$B$25+O7*(Annahmen!$B$34-Annahmen!$B$25))+(Annahmen!$B$29+O7*(Annahmen!$B$38-Annahmen!$B$29)))+Annahmen!$B$13/(1-Annahmen!$B$15*(1-O6))*((Annahmen!$B$22+O7*(Annahmen!$B$31-Annahmen!$B$22))+(Annahmen!$B$26+O7*(Annahmen!$B$35-Annahmen!$B$26))+(Annahmen!$B$29+O7*(Annahmen!$B$38-Annahmen!$B$29)))+Annahmen!$B$14/(1-Annahmen!$B$15*(1-O6))*((Annahmen!$B$23+O7*(Annahmen!$B$32-Annahmen!$B$23))+(Annahmen!$B$27+O7*(Annahmen!$B$36-Annahmen!$B$27))+(Annahmen!$B$29+O7*(Annahmen!$B$38-Annahmen!$B$29)))+Annahmen!$B$15*O6*((Annahmen!$B$24+O7*(Annahmen!$B$33-Annahmen!$B$24))+(Annahmen!$B$28+O7*(Annahmen!$B$37-Annahmen!$B$28))+(Annahmen!$B$29+O7*(Annahmen!$B$38-Annahmen!$B$29)))</f>
        <v/>
      </c>
      <c r="P8" s="22">
        <f>Annahmen!$B$12/(1-Annahmen!$B$15*(1-P6))*((Annahmen!$B$21+P7*(Annahmen!$B$30-Annahmen!$B$21))+(Annahmen!$B$25+P7*(Annahmen!$B$34-Annahmen!$B$25))+(Annahmen!$B$29+P7*(Annahmen!$B$38-Annahmen!$B$29)))+Annahmen!$B$13/(1-Annahmen!$B$15*(1-P6))*((Annahmen!$B$22+P7*(Annahmen!$B$31-Annahmen!$B$22))+(Annahmen!$B$26+P7*(Annahmen!$B$35-Annahmen!$B$26))+(Annahmen!$B$29+P7*(Annahmen!$B$38-Annahmen!$B$29)))+Annahmen!$B$14/(1-Annahmen!$B$15*(1-P6))*((Annahmen!$B$23+P7*(Annahmen!$B$32-Annahmen!$B$23))+(Annahmen!$B$27+P7*(Annahmen!$B$36-Annahmen!$B$27))+(Annahmen!$B$29+P7*(Annahmen!$B$38-Annahmen!$B$29)))+Annahmen!$B$15*P6*((Annahmen!$B$24+P7*(Annahmen!$B$33-Annahmen!$B$24))+(Annahmen!$B$28+P7*(Annahmen!$B$37-Annahmen!$B$28))+(Annahmen!$B$29+P7*(Annahmen!$B$38-Annahmen!$B$29)))</f>
        <v/>
      </c>
      <c r="Q8" s="22">
        <f>Annahmen!$B$12/(1-Annahmen!$B$15*(1-Q6))*((Annahmen!$B$21+Q7*(Annahmen!$B$30-Annahmen!$B$21))+(Annahmen!$B$25+Q7*(Annahmen!$B$34-Annahmen!$B$25))+(Annahmen!$B$29+Q7*(Annahmen!$B$38-Annahmen!$B$29)))+Annahmen!$B$13/(1-Annahmen!$B$15*(1-Q6))*((Annahmen!$B$22+Q7*(Annahmen!$B$31-Annahmen!$B$22))+(Annahmen!$B$26+Q7*(Annahmen!$B$35-Annahmen!$B$26))+(Annahmen!$B$29+Q7*(Annahmen!$B$38-Annahmen!$B$29)))+Annahmen!$B$14/(1-Annahmen!$B$15*(1-Q6))*((Annahmen!$B$23+Q7*(Annahmen!$B$32-Annahmen!$B$23))+(Annahmen!$B$27+Q7*(Annahmen!$B$36-Annahmen!$B$27))+(Annahmen!$B$29+Q7*(Annahmen!$B$38-Annahmen!$B$29)))+Annahmen!$B$15*Q6*((Annahmen!$B$24+Q7*(Annahmen!$B$33-Annahmen!$B$24))+(Annahmen!$B$28+Q7*(Annahmen!$B$37-Annahmen!$B$28))+(Annahmen!$B$29+Q7*(Annahmen!$B$38-Annahmen!$B$29)))</f>
        <v/>
      </c>
      <c r="R8" s="22">
        <f>Annahmen!$B$12/(1-Annahmen!$B$15*(1-R6))*((Annahmen!$B$21+R7*(Annahmen!$B$30-Annahmen!$B$21))+(Annahmen!$B$25+R7*(Annahmen!$B$34-Annahmen!$B$25))+(Annahmen!$B$29+R7*(Annahmen!$B$38-Annahmen!$B$29)))+Annahmen!$B$13/(1-Annahmen!$B$15*(1-R6))*((Annahmen!$B$22+R7*(Annahmen!$B$31-Annahmen!$B$22))+(Annahmen!$B$26+R7*(Annahmen!$B$35-Annahmen!$B$26))+(Annahmen!$B$29+R7*(Annahmen!$B$38-Annahmen!$B$29)))+Annahmen!$B$14/(1-Annahmen!$B$15*(1-R6))*((Annahmen!$B$23+R7*(Annahmen!$B$32-Annahmen!$B$23))+(Annahmen!$B$27+R7*(Annahmen!$B$36-Annahmen!$B$27))+(Annahmen!$B$29+R7*(Annahmen!$B$38-Annahmen!$B$29)))+Annahmen!$B$15*R6*((Annahmen!$B$24+R7*(Annahmen!$B$33-Annahmen!$B$24))+(Annahmen!$B$28+R7*(Annahmen!$B$37-Annahmen!$B$28))+(Annahmen!$B$29+R7*(Annahmen!$B$38-Annahmen!$B$29)))</f>
        <v/>
      </c>
      <c r="S8" s="22">
        <f>Annahmen!$B$12/(1-Annahmen!$B$15*(1-S6))*((Annahmen!$B$21+S7*(Annahmen!$B$30-Annahmen!$B$21))+(Annahmen!$B$25+S7*(Annahmen!$B$34-Annahmen!$B$25))+(Annahmen!$B$29+S7*(Annahmen!$B$38-Annahmen!$B$29)))+Annahmen!$B$13/(1-Annahmen!$B$15*(1-S6))*((Annahmen!$B$22+S7*(Annahmen!$B$31-Annahmen!$B$22))+(Annahmen!$B$26+S7*(Annahmen!$B$35-Annahmen!$B$26))+(Annahmen!$B$29+S7*(Annahmen!$B$38-Annahmen!$B$29)))+Annahmen!$B$14/(1-Annahmen!$B$15*(1-S6))*((Annahmen!$B$23+S7*(Annahmen!$B$32-Annahmen!$B$23))+(Annahmen!$B$27+S7*(Annahmen!$B$36-Annahmen!$B$27))+(Annahmen!$B$29+S7*(Annahmen!$B$38-Annahmen!$B$29)))+Annahmen!$B$15*S6*((Annahmen!$B$24+S7*(Annahmen!$B$33-Annahmen!$B$24))+(Annahmen!$B$28+S7*(Annahmen!$B$37-Annahmen!$B$28))+(Annahmen!$B$29+S7*(Annahmen!$B$38-Annahmen!$B$29)))</f>
        <v/>
      </c>
      <c r="T8" s="22">
        <f>Annahmen!$B$12/(1-Annahmen!$B$15*(1-T6))*((Annahmen!$B$21+T7*(Annahmen!$B$30-Annahmen!$B$21))+(Annahmen!$B$25+T7*(Annahmen!$B$34-Annahmen!$B$25))+(Annahmen!$B$29+T7*(Annahmen!$B$38-Annahmen!$B$29)))+Annahmen!$B$13/(1-Annahmen!$B$15*(1-T6))*((Annahmen!$B$22+T7*(Annahmen!$B$31-Annahmen!$B$22))+(Annahmen!$B$26+T7*(Annahmen!$B$35-Annahmen!$B$26))+(Annahmen!$B$29+T7*(Annahmen!$B$38-Annahmen!$B$29)))+Annahmen!$B$14/(1-Annahmen!$B$15*(1-T6))*((Annahmen!$B$23+T7*(Annahmen!$B$32-Annahmen!$B$23))+(Annahmen!$B$27+T7*(Annahmen!$B$36-Annahmen!$B$27))+(Annahmen!$B$29+T7*(Annahmen!$B$38-Annahmen!$B$29)))+Annahmen!$B$15*T6*((Annahmen!$B$24+T7*(Annahmen!$B$33-Annahmen!$B$24))+(Annahmen!$B$28+T7*(Annahmen!$B$37-Annahmen!$B$28))+(Annahmen!$B$29+T7*(Annahmen!$B$38-Annahmen!$B$29)))</f>
        <v/>
      </c>
      <c r="U8" s="22">
        <f>Annahmen!$B$12/(1-Annahmen!$B$15*(1-U6))*((Annahmen!$B$21+U7*(Annahmen!$B$30-Annahmen!$B$21))+(Annahmen!$B$25+U7*(Annahmen!$B$34-Annahmen!$B$25))+(Annahmen!$B$29+U7*(Annahmen!$B$38-Annahmen!$B$29)))+Annahmen!$B$13/(1-Annahmen!$B$15*(1-U6))*((Annahmen!$B$22+U7*(Annahmen!$B$31-Annahmen!$B$22))+(Annahmen!$B$26+U7*(Annahmen!$B$35-Annahmen!$B$26))+(Annahmen!$B$29+U7*(Annahmen!$B$38-Annahmen!$B$29)))+Annahmen!$B$14/(1-Annahmen!$B$15*(1-U6))*((Annahmen!$B$23+U7*(Annahmen!$B$32-Annahmen!$B$23))+(Annahmen!$B$27+U7*(Annahmen!$B$36-Annahmen!$B$27))+(Annahmen!$B$29+U7*(Annahmen!$B$38-Annahmen!$B$29)))+Annahmen!$B$15*U6*((Annahmen!$B$24+U7*(Annahmen!$B$33-Annahmen!$B$24))+(Annahmen!$B$28+U7*(Annahmen!$B$37-Annahmen!$B$28))+(Annahmen!$B$29+U7*(Annahmen!$B$38-Annahmen!$B$29)))</f>
        <v/>
      </c>
      <c r="V8" s="22">
        <f>Annahmen!$B$12/(1-Annahmen!$B$15*(1-V6))*((Annahmen!$B$21+V7*(Annahmen!$B$30-Annahmen!$B$21))+(Annahmen!$B$25+V7*(Annahmen!$B$34-Annahmen!$B$25))+(Annahmen!$B$29+V7*(Annahmen!$B$38-Annahmen!$B$29)))+Annahmen!$B$13/(1-Annahmen!$B$15*(1-V6))*((Annahmen!$B$22+V7*(Annahmen!$B$31-Annahmen!$B$22))+(Annahmen!$B$26+V7*(Annahmen!$B$35-Annahmen!$B$26))+(Annahmen!$B$29+V7*(Annahmen!$B$38-Annahmen!$B$29)))+Annahmen!$B$14/(1-Annahmen!$B$15*(1-V6))*((Annahmen!$B$23+V7*(Annahmen!$B$32-Annahmen!$B$23))+(Annahmen!$B$27+V7*(Annahmen!$B$36-Annahmen!$B$27))+(Annahmen!$B$29+V7*(Annahmen!$B$38-Annahmen!$B$29)))+Annahmen!$B$15*V6*((Annahmen!$B$24+V7*(Annahmen!$B$33-Annahmen!$B$24))+(Annahmen!$B$28+V7*(Annahmen!$B$37-Annahmen!$B$28))+(Annahmen!$B$29+V7*(Annahmen!$B$38-Annahmen!$B$29)))</f>
        <v/>
      </c>
      <c r="W8" s="22">
        <f>Annahmen!$B$12/(1-Annahmen!$B$15*(1-W6))*((Annahmen!$B$21+W7*(Annahmen!$B$30-Annahmen!$B$21))+(Annahmen!$B$25+W7*(Annahmen!$B$34-Annahmen!$B$25))+(Annahmen!$B$29+W7*(Annahmen!$B$38-Annahmen!$B$29)))+Annahmen!$B$13/(1-Annahmen!$B$15*(1-W6))*((Annahmen!$B$22+W7*(Annahmen!$B$31-Annahmen!$B$22))+(Annahmen!$B$26+W7*(Annahmen!$B$35-Annahmen!$B$26))+(Annahmen!$B$29+W7*(Annahmen!$B$38-Annahmen!$B$29)))+Annahmen!$B$14/(1-Annahmen!$B$15*(1-W6))*((Annahmen!$B$23+W7*(Annahmen!$B$32-Annahmen!$B$23))+(Annahmen!$B$27+W7*(Annahmen!$B$36-Annahmen!$B$27))+(Annahmen!$B$29+W7*(Annahmen!$B$38-Annahmen!$B$29)))+Annahmen!$B$15*W6*((Annahmen!$B$24+W7*(Annahmen!$B$33-Annahmen!$B$24))+(Annahmen!$B$28+W7*(Annahmen!$B$37-Annahmen!$B$28))+(Annahmen!$B$29+W7*(Annahmen!$B$38-Annahmen!$B$29)))</f>
        <v/>
      </c>
      <c r="X8" s="22">
        <f>Annahmen!$B$12/(1-Annahmen!$B$15*(1-X6))*((Annahmen!$B$21+X7*(Annahmen!$B$30-Annahmen!$B$21))+(Annahmen!$B$25+X7*(Annahmen!$B$34-Annahmen!$B$25))+(Annahmen!$B$29+X7*(Annahmen!$B$38-Annahmen!$B$29)))+Annahmen!$B$13/(1-Annahmen!$B$15*(1-X6))*((Annahmen!$B$22+X7*(Annahmen!$B$31-Annahmen!$B$22))+(Annahmen!$B$26+X7*(Annahmen!$B$35-Annahmen!$B$26))+(Annahmen!$B$29+X7*(Annahmen!$B$38-Annahmen!$B$29)))+Annahmen!$B$14/(1-Annahmen!$B$15*(1-X6))*((Annahmen!$B$23+X7*(Annahmen!$B$32-Annahmen!$B$23))+(Annahmen!$B$27+X7*(Annahmen!$B$36-Annahmen!$B$27))+(Annahmen!$B$29+X7*(Annahmen!$B$38-Annahmen!$B$29)))+Annahmen!$B$15*X6*((Annahmen!$B$24+X7*(Annahmen!$B$33-Annahmen!$B$24))+(Annahmen!$B$28+X7*(Annahmen!$B$37-Annahmen!$B$28))+(Annahmen!$B$29+X7*(Annahmen!$B$38-Annahmen!$B$29)))</f>
        <v/>
      </c>
      <c r="Y8" s="22">
        <f>Annahmen!$B$12/(1-Annahmen!$B$15*(1-Y6))*((Annahmen!$B$21+Y7*(Annahmen!$B$30-Annahmen!$B$21))+(Annahmen!$B$25+Y7*(Annahmen!$B$34-Annahmen!$B$25))+(Annahmen!$B$29+Y7*(Annahmen!$B$38-Annahmen!$B$29)))+Annahmen!$B$13/(1-Annahmen!$B$15*(1-Y6))*((Annahmen!$B$22+Y7*(Annahmen!$B$31-Annahmen!$B$22))+(Annahmen!$B$26+Y7*(Annahmen!$B$35-Annahmen!$B$26))+(Annahmen!$B$29+Y7*(Annahmen!$B$38-Annahmen!$B$29)))+Annahmen!$B$14/(1-Annahmen!$B$15*(1-Y6))*((Annahmen!$B$23+Y7*(Annahmen!$B$32-Annahmen!$B$23))+(Annahmen!$B$27+Y7*(Annahmen!$B$36-Annahmen!$B$27))+(Annahmen!$B$29+Y7*(Annahmen!$B$38-Annahmen!$B$29)))+Annahmen!$B$15*Y6*((Annahmen!$B$24+Y7*(Annahmen!$B$33-Annahmen!$B$24))+(Annahmen!$B$28+Y7*(Annahmen!$B$37-Annahmen!$B$28))+(Annahmen!$B$29+Y7*(Annahmen!$B$38-Annahmen!$B$29)))</f>
        <v/>
      </c>
    </row>
    <row r="9">
      <c r="A9" s="5" t="inlineStr">
        <is>
          <t>Laufende Stunden (Bestand)</t>
        </is>
      </c>
      <c r="B9" s="22">
        <f>0*(Annahmen!$B$25+B7*(Annahmen!$B$34-Annahmen!$B$25))+0*(Annahmen!$B$26+B7*(Annahmen!$B$35-Annahmen!$B$26))+0*(Annahmen!$B$27+B7*(Annahmen!$B$36-Annahmen!$B$27))+0*(Annahmen!$B$28+B7*(Annahmen!$B$37-Annahmen!$B$28))</f>
        <v/>
      </c>
      <c r="C9" s="22">
        <f>B14*(Annahmen!$B$25+C7*(Annahmen!$B$34-Annahmen!$B$25))+B15*(Annahmen!$B$26+C7*(Annahmen!$B$35-Annahmen!$B$26))+B16*(Annahmen!$B$27+C7*(Annahmen!$B$36-Annahmen!$B$27))+B17*(Annahmen!$B$28+C7*(Annahmen!$B$37-Annahmen!$B$28))</f>
        <v/>
      </c>
      <c r="D9" s="22">
        <f>C14*(Annahmen!$B$25+D7*(Annahmen!$B$34-Annahmen!$B$25))+C15*(Annahmen!$B$26+D7*(Annahmen!$B$35-Annahmen!$B$26))+C16*(Annahmen!$B$27+D7*(Annahmen!$B$36-Annahmen!$B$27))+C17*(Annahmen!$B$28+D7*(Annahmen!$B$37-Annahmen!$B$28))</f>
        <v/>
      </c>
      <c r="E9" s="22">
        <f>D14*(Annahmen!$B$25+E7*(Annahmen!$B$34-Annahmen!$B$25))+D15*(Annahmen!$B$26+E7*(Annahmen!$B$35-Annahmen!$B$26))+D16*(Annahmen!$B$27+E7*(Annahmen!$B$36-Annahmen!$B$27))+D17*(Annahmen!$B$28+E7*(Annahmen!$B$37-Annahmen!$B$28))</f>
        <v/>
      </c>
      <c r="F9" s="22">
        <f>E14*(Annahmen!$B$25+F7*(Annahmen!$B$34-Annahmen!$B$25))+E15*(Annahmen!$B$26+F7*(Annahmen!$B$35-Annahmen!$B$26))+E16*(Annahmen!$B$27+F7*(Annahmen!$B$36-Annahmen!$B$27))+E17*(Annahmen!$B$28+F7*(Annahmen!$B$37-Annahmen!$B$28))</f>
        <v/>
      </c>
      <c r="G9" s="22">
        <f>F14*(Annahmen!$B$25+G7*(Annahmen!$B$34-Annahmen!$B$25))+F15*(Annahmen!$B$26+G7*(Annahmen!$B$35-Annahmen!$B$26))+F16*(Annahmen!$B$27+G7*(Annahmen!$B$36-Annahmen!$B$27))+F17*(Annahmen!$B$28+G7*(Annahmen!$B$37-Annahmen!$B$28))</f>
        <v/>
      </c>
      <c r="H9" s="22">
        <f>G14*(Annahmen!$B$25+H7*(Annahmen!$B$34-Annahmen!$B$25))+G15*(Annahmen!$B$26+H7*(Annahmen!$B$35-Annahmen!$B$26))+G16*(Annahmen!$B$27+H7*(Annahmen!$B$36-Annahmen!$B$27))+G17*(Annahmen!$B$28+H7*(Annahmen!$B$37-Annahmen!$B$28))</f>
        <v/>
      </c>
      <c r="I9" s="22">
        <f>H14*(Annahmen!$B$25+I7*(Annahmen!$B$34-Annahmen!$B$25))+H15*(Annahmen!$B$26+I7*(Annahmen!$B$35-Annahmen!$B$26))+H16*(Annahmen!$B$27+I7*(Annahmen!$B$36-Annahmen!$B$27))+H17*(Annahmen!$B$28+I7*(Annahmen!$B$37-Annahmen!$B$28))</f>
        <v/>
      </c>
      <c r="J9" s="22">
        <f>I14*(Annahmen!$B$25+J7*(Annahmen!$B$34-Annahmen!$B$25))+I15*(Annahmen!$B$26+J7*(Annahmen!$B$35-Annahmen!$B$26))+I16*(Annahmen!$B$27+J7*(Annahmen!$B$36-Annahmen!$B$27))+I17*(Annahmen!$B$28+J7*(Annahmen!$B$37-Annahmen!$B$28))</f>
        <v/>
      </c>
      <c r="K9" s="22">
        <f>J14*(Annahmen!$B$25+K7*(Annahmen!$B$34-Annahmen!$B$25))+J15*(Annahmen!$B$26+K7*(Annahmen!$B$35-Annahmen!$B$26))+J16*(Annahmen!$B$27+K7*(Annahmen!$B$36-Annahmen!$B$27))+J17*(Annahmen!$B$28+K7*(Annahmen!$B$37-Annahmen!$B$28))</f>
        <v/>
      </c>
      <c r="L9" s="22">
        <f>K14*(Annahmen!$B$25+L7*(Annahmen!$B$34-Annahmen!$B$25))+K15*(Annahmen!$B$26+L7*(Annahmen!$B$35-Annahmen!$B$26))+K16*(Annahmen!$B$27+L7*(Annahmen!$B$36-Annahmen!$B$27))+K17*(Annahmen!$B$28+L7*(Annahmen!$B$37-Annahmen!$B$28))</f>
        <v/>
      </c>
      <c r="M9" s="22">
        <f>L14*(Annahmen!$B$25+M7*(Annahmen!$B$34-Annahmen!$B$25))+L15*(Annahmen!$B$26+M7*(Annahmen!$B$35-Annahmen!$B$26))+L16*(Annahmen!$B$27+M7*(Annahmen!$B$36-Annahmen!$B$27))+L17*(Annahmen!$B$28+M7*(Annahmen!$B$37-Annahmen!$B$28))</f>
        <v/>
      </c>
      <c r="N9" s="22">
        <f>M14*(Annahmen!$B$25+N7*(Annahmen!$B$34-Annahmen!$B$25))+M15*(Annahmen!$B$26+N7*(Annahmen!$B$35-Annahmen!$B$26))+M16*(Annahmen!$B$27+N7*(Annahmen!$B$36-Annahmen!$B$27))+M17*(Annahmen!$B$28+N7*(Annahmen!$B$37-Annahmen!$B$28))</f>
        <v/>
      </c>
      <c r="O9" s="22">
        <f>N14*(Annahmen!$B$25+O7*(Annahmen!$B$34-Annahmen!$B$25))+N15*(Annahmen!$B$26+O7*(Annahmen!$B$35-Annahmen!$B$26))+N16*(Annahmen!$B$27+O7*(Annahmen!$B$36-Annahmen!$B$27))+N17*(Annahmen!$B$28+O7*(Annahmen!$B$37-Annahmen!$B$28))</f>
        <v/>
      </c>
      <c r="P9" s="22">
        <f>O14*(Annahmen!$B$25+P7*(Annahmen!$B$34-Annahmen!$B$25))+O15*(Annahmen!$B$26+P7*(Annahmen!$B$35-Annahmen!$B$26))+O16*(Annahmen!$B$27+P7*(Annahmen!$B$36-Annahmen!$B$27))+O17*(Annahmen!$B$28+P7*(Annahmen!$B$37-Annahmen!$B$28))</f>
        <v/>
      </c>
      <c r="Q9" s="22">
        <f>P14*(Annahmen!$B$25+Q7*(Annahmen!$B$34-Annahmen!$B$25))+P15*(Annahmen!$B$26+Q7*(Annahmen!$B$35-Annahmen!$B$26))+P16*(Annahmen!$B$27+Q7*(Annahmen!$B$36-Annahmen!$B$27))+P17*(Annahmen!$B$28+Q7*(Annahmen!$B$37-Annahmen!$B$28))</f>
        <v/>
      </c>
      <c r="R9" s="22">
        <f>Q14*(Annahmen!$B$25+R7*(Annahmen!$B$34-Annahmen!$B$25))+Q15*(Annahmen!$B$26+R7*(Annahmen!$B$35-Annahmen!$B$26))+Q16*(Annahmen!$B$27+R7*(Annahmen!$B$36-Annahmen!$B$27))+Q17*(Annahmen!$B$28+R7*(Annahmen!$B$37-Annahmen!$B$28))</f>
        <v/>
      </c>
      <c r="S9" s="22">
        <f>R14*(Annahmen!$B$25+S7*(Annahmen!$B$34-Annahmen!$B$25))+R15*(Annahmen!$B$26+S7*(Annahmen!$B$35-Annahmen!$B$26))+R16*(Annahmen!$B$27+S7*(Annahmen!$B$36-Annahmen!$B$27))+R17*(Annahmen!$B$28+S7*(Annahmen!$B$37-Annahmen!$B$28))</f>
        <v/>
      </c>
      <c r="T9" s="22">
        <f>S14*(Annahmen!$B$25+T7*(Annahmen!$B$34-Annahmen!$B$25))+S15*(Annahmen!$B$26+T7*(Annahmen!$B$35-Annahmen!$B$26))+S16*(Annahmen!$B$27+T7*(Annahmen!$B$36-Annahmen!$B$27))+S17*(Annahmen!$B$28+T7*(Annahmen!$B$37-Annahmen!$B$28))</f>
        <v/>
      </c>
      <c r="U9" s="22">
        <f>T14*(Annahmen!$B$25+U7*(Annahmen!$B$34-Annahmen!$B$25))+T15*(Annahmen!$B$26+U7*(Annahmen!$B$35-Annahmen!$B$26))+T16*(Annahmen!$B$27+U7*(Annahmen!$B$36-Annahmen!$B$27))+T17*(Annahmen!$B$28+U7*(Annahmen!$B$37-Annahmen!$B$28))</f>
        <v/>
      </c>
      <c r="V9" s="22">
        <f>U14*(Annahmen!$B$25+V7*(Annahmen!$B$34-Annahmen!$B$25))+U15*(Annahmen!$B$26+V7*(Annahmen!$B$35-Annahmen!$B$26))+U16*(Annahmen!$B$27+V7*(Annahmen!$B$36-Annahmen!$B$27))+U17*(Annahmen!$B$28+V7*(Annahmen!$B$37-Annahmen!$B$28))</f>
        <v/>
      </c>
      <c r="W9" s="22">
        <f>V14*(Annahmen!$B$25+W7*(Annahmen!$B$34-Annahmen!$B$25))+V15*(Annahmen!$B$26+W7*(Annahmen!$B$35-Annahmen!$B$26))+V16*(Annahmen!$B$27+W7*(Annahmen!$B$36-Annahmen!$B$27))+V17*(Annahmen!$B$28+W7*(Annahmen!$B$37-Annahmen!$B$28))</f>
        <v/>
      </c>
      <c r="X9" s="22">
        <f>W14*(Annahmen!$B$25+X7*(Annahmen!$B$34-Annahmen!$B$25))+W15*(Annahmen!$B$26+X7*(Annahmen!$B$35-Annahmen!$B$26))+W16*(Annahmen!$B$27+X7*(Annahmen!$B$36-Annahmen!$B$27))+W17*(Annahmen!$B$28+X7*(Annahmen!$B$37-Annahmen!$B$28))</f>
        <v/>
      </c>
      <c r="Y9" s="22">
        <f>X14*(Annahmen!$B$25+Y7*(Annahmen!$B$34-Annahmen!$B$25))+X15*(Annahmen!$B$26+Y7*(Annahmen!$B$35-Annahmen!$B$26))+X16*(Annahmen!$B$27+Y7*(Annahmen!$B$36-Annahmen!$B$27))+X17*(Annahmen!$B$28+Y7*(Annahmen!$B$37-Annahmen!$B$28))</f>
        <v/>
      </c>
    </row>
    <row r="10">
      <c r="A10" s="5" t="inlineStr">
        <is>
          <t>Möglich nach Stunden</t>
        </is>
      </c>
      <c r="B10" s="22">
        <f>MAX(0,(Annahmen!$B$41-B9)/B8)</f>
        <v/>
      </c>
      <c r="C10" s="22">
        <f>MAX(0,(Annahmen!$B$41-C9)/C8)</f>
        <v/>
      </c>
      <c r="D10" s="22">
        <f>MAX(0,(Annahmen!$B$41-D9)/D8)</f>
        <v/>
      </c>
      <c r="E10" s="22">
        <f>MAX(0,(Annahmen!$B$41-E9)/E8)</f>
        <v/>
      </c>
      <c r="F10" s="22">
        <f>MAX(0,(Annahmen!$B$41-F9)/F8)</f>
        <v/>
      </c>
      <c r="G10" s="22">
        <f>MAX(0,(Annahmen!$B$41-G9)/G8)</f>
        <v/>
      </c>
      <c r="H10" s="22">
        <f>MAX(0,(Annahmen!$B$41-H9)/H8)</f>
        <v/>
      </c>
      <c r="I10" s="22">
        <f>MAX(0,(Annahmen!$B$41-I9)/I8)</f>
        <v/>
      </c>
      <c r="J10" s="22">
        <f>MAX(0,(Annahmen!$B$41-J9)/J8)</f>
        <v/>
      </c>
      <c r="K10" s="22">
        <f>MAX(0,(Annahmen!$B$41-K9)/K8)</f>
        <v/>
      </c>
      <c r="L10" s="22">
        <f>MAX(0,(Annahmen!$B$41-L9)/L8)</f>
        <v/>
      </c>
      <c r="M10" s="22">
        <f>MAX(0,(Annahmen!$B$41-M9)/M8)</f>
        <v/>
      </c>
      <c r="N10" s="22">
        <f>MAX(0,(Annahmen!$B$41-N9)/N8)</f>
        <v/>
      </c>
      <c r="O10" s="22">
        <f>MAX(0,(Annahmen!$B$41-O9)/O8)</f>
        <v/>
      </c>
      <c r="P10" s="22">
        <f>MAX(0,(Annahmen!$B$41-P9)/P8)</f>
        <v/>
      </c>
      <c r="Q10" s="22">
        <f>MAX(0,(Annahmen!$B$41-Q9)/Q8)</f>
        <v/>
      </c>
      <c r="R10" s="22">
        <f>MAX(0,(Annahmen!$B$41-R9)/R8)</f>
        <v/>
      </c>
      <c r="S10" s="22">
        <f>MAX(0,(Annahmen!$B$41-S9)/S8)</f>
        <v/>
      </c>
      <c r="T10" s="22">
        <f>MAX(0,(Annahmen!$B$41-T9)/T8)</f>
        <v/>
      </c>
      <c r="U10" s="22">
        <f>MAX(0,(Annahmen!$B$41-U9)/U8)</f>
        <v/>
      </c>
      <c r="V10" s="22">
        <f>MAX(0,(Annahmen!$B$41-V9)/V8)</f>
        <v/>
      </c>
      <c r="W10" s="22">
        <f>MAX(0,(Annahmen!$B$41-W9)/W8)</f>
        <v/>
      </c>
      <c r="X10" s="22">
        <f>MAX(0,(Annahmen!$B$41-X9)/X8)</f>
        <v/>
      </c>
      <c r="Y10" s="22">
        <f>MAX(0,(Annahmen!$B$41-Y9)/Y8)</f>
        <v/>
      </c>
    </row>
    <row r="11">
      <c r="A11" s="7" t="inlineStr">
        <is>
          <t>Abschlüsse</t>
        </is>
      </c>
      <c r="B11" s="21">
        <f>MIN(B5,B10)</f>
        <v/>
      </c>
      <c r="C11" s="21">
        <f>MIN(C5,C10)</f>
        <v/>
      </c>
      <c r="D11" s="21">
        <f>MIN(D5,D10)</f>
        <v/>
      </c>
      <c r="E11" s="21">
        <f>MIN(E5,E10)</f>
        <v/>
      </c>
      <c r="F11" s="21">
        <f>MIN(F5,F10)</f>
        <v/>
      </c>
      <c r="G11" s="21">
        <f>MIN(G5,G10)</f>
        <v/>
      </c>
      <c r="H11" s="21">
        <f>MIN(H5,H10)</f>
        <v/>
      </c>
      <c r="I11" s="21">
        <f>MIN(I5,I10)</f>
        <v/>
      </c>
      <c r="J11" s="21">
        <f>MIN(J5,J10)</f>
        <v/>
      </c>
      <c r="K11" s="21">
        <f>MIN(K5,K10)</f>
        <v/>
      </c>
      <c r="L11" s="21">
        <f>MIN(L5,L10)</f>
        <v/>
      </c>
      <c r="M11" s="21">
        <f>MIN(M5,M10)</f>
        <v/>
      </c>
      <c r="N11" s="21">
        <f>MIN(N5,N10)</f>
        <v/>
      </c>
      <c r="O11" s="21">
        <f>MIN(O5,O10)</f>
        <v/>
      </c>
      <c r="P11" s="21">
        <f>MIN(P5,P10)</f>
        <v/>
      </c>
      <c r="Q11" s="21">
        <f>MIN(Q5,Q10)</f>
        <v/>
      </c>
      <c r="R11" s="21">
        <f>MIN(R5,R10)</f>
        <v/>
      </c>
      <c r="S11" s="21">
        <f>MIN(S5,S10)</f>
        <v/>
      </c>
      <c r="T11" s="21">
        <f>MIN(T5,T10)</f>
        <v/>
      </c>
      <c r="U11" s="21">
        <f>MIN(U5,U10)</f>
        <v/>
      </c>
      <c r="V11" s="21">
        <f>MIN(V5,V10)</f>
        <v/>
      </c>
      <c r="W11" s="21">
        <f>MIN(W5,W10)</f>
        <v/>
      </c>
      <c r="X11" s="21">
        <f>MIN(X5,X10)</f>
        <v/>
      </c>
      <c r="Y11" s="21">
        <f>MIN(Y5,Y10)</f>
        <v/>
      </c>
    </row>
    <row r="12">
      <c r="A12" s="5" t="inlineStr">
        <is>
          <t>Abschlüsse kumuliert</t>
        </is>
      </c>
      <c r="B12" s="22">
        <f>0+B11</f>
        <v/>
      </c>
      <c r="C12" s="22">
        <f>B12+C11</f>
        <v/>
      </c>
      <c r="D12" s="22">
        <f>C12+D11</f>
        <v/>
      </c>
      <c r="E12" s="22">
        <f>D12+E11</f>
        <v/>
      </c>
      <c r="F12" s="22">
        <f>E12+F11</f>
        <v/>
      </c>
      <c r="G12" s="22">
        <f>F12+G11</f>
        <v/>
      </c>
      <c r="H12" s="22">
        <f>G12+H11</f>
        <v/>
      </c>
      <c r="I12" s="22">
        <f>H12+I11</f>
        <v/>
      </c>
      <c r="J12" s="22">
        <f>I12+J11</f>
        <v/>
      </c>
      <c r="K12" s="22">
        <f>J12+K11</f>
        <v/>
      </c>
      <c r="L12" s="22">
        <f>K12+L11</f>
        <v/>
      </c>
      <c r="M12" s="22">
        <f>L12+M11</f>
        <v/>
      </c>
      <c r="N12" s="22">
        <f>M12+N11</f>
        <v/>
      </c>
      <c r="O12" s="22">
        <f>N12+O11</f>
        <v/>
      </c>
      <c r="P12" s="22">
        <f>O12+P11</f>
        <v/>
      </c>
      <c r="Q12" s="22">
        <f>P12+Q11</f>
        <v/>
      </c>
      <c r="R12" s="22">
        <f>Q12+R11</f>
        <v/>
      </c>
      <c r="S12" s="22">
        <f>R12+S11</f>
        <v/>
      </c>
      <c r="T12" s="22">
        <f>S12+T11</f>
        <v/>
      </c>
      <c r="U12" s="22">
        <f>T12+U11</f>
        <v/>
      </c>
      <c r="V12" s="22">
        <f>U12+V11</f>
        <v/>
      </c>
      <c r="W12" s="22">
        <f>V12+W11</f>
        <v/>
      </c>
      <c r="X12" s="22">
        <f>W12+X11</f>
        <v/>
      </c>
      <c r="Y12" s="22">
        <f>X12+Y11</f>
        <v/>
      </c>
    </row>
    <row r="13">
      <c r="A13" s="24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</row>
    <row r="14">
      <c r="A14" s="5" t="inlineStr">
        <is>
          <t>Aktive Pflege-Kunden</t>
        </is>
      </c>
      <c r="B14" s="22">
        <f>0*(1-Annahmen!$B$17)+B11*Annahmen!$B$12/(1-Annahmen!$B$15*(1-B6))</f>
        <v/>
      </c>
      <c r="C14" s="22">
        <f>B14*(1-Annahmen!$B$17)+C11*Annahmen!$B$12/(1-Annahmen!$B$15*(1-C6))</f>
        <v/>
      </c>
      <c r="D14" s="22">
        <f>C14*(1-Annahmen!$B$17)+D11*Annahmen!$B$12/(1-Annahmen!$B$15*(1-D6))</f>
        <v/>
      </c>
      <c r="E14" s="22">
        <f>D14*(1-Annahmen!$B$17)+E11*Annahmen!$B$12/(1-Annahmen!$B$15*(1-E6))</f>
        <v/>
      </c>
      <c r="F14" s="22">
        <f>E14*(1-Annahmen!$B$17)+F11*Annahmen!$B$12/(1-Annahmen!$B$15*(1-F6))</f>
        <v/>
      </c>
      <c r="G14" s="22">
        <f>F14*(1-Annahmen!$B$17)+G11*Annahmen!$B$12/(1-Annahmen!$B$15*(1-G6))</f>
        <v/>
      </c>
      <c r="H14" s="22">
        <f>G14*(1-Annahmen!$B$17)+H11*Annahmen!$B$12/(1-Annahmen!$B$15*(1-H6))</f>
        <v/>
      </c>
      <c r="I14" s="22">
        <f>H14*(1-Annahmen!$B$17)+I11*Annahmen!$B$12/(1-Annahmen!$B$15*(1-I6))</f>
        <v/>
      </c>
      <c r="J14" s="22">
        <f>I14*(1-Annahmen!$B$17)+J11*Annahmen!$B$12/(1-Annahmen!$B$15*(1-J6))</f>
        <v/>
      </c>
      <c r="K14" s="22">
        <f>J14*(1-Annahmen!$B$17)+K11*Annahmen!$B$12/(1-Annahmen!$B$15*(1-K6))</f>
        <v/>
      </c>
      <c r="L14" s="22">
        <f>K14*(1-Annahmen!$B$17)+L11*Annahmen!$B$12/(1-Annahmen!$B$15*(1-L6))</f>
        <v/>
      </c>
      <c r="M14" s="22">
        <f>L14*(1-Annahmen!$B$17)+M11*Annahmen!$B$12/(1-Annahmen!$B$15*(1-M6))</f>
        <v/>
      </c>
      <c r="N14" s="22">
        <f>M14*(1-Annahmen!$B$17)+N11*Annahmen!$B$12/(1-Annahmen!$B$15*(1-N6))</f>
        <v/>
      </c>
      <c r="O14" s="22">
        <f>N14*(1-Annahmen!$B$17)+O11*Annahmen!$B$12/(1-Annahmen!$B$15*(1-O6))</f>
        <v/>
      </c>
      <c r="P14" s="22">
        <f>O14*(1-Annahmen!$B$17)+P11*Annahmen!$B$12/(1-Annahmen!$B$15*(1-P6))</f>
        <v/>
      </c>
      <c r="Q14" s="22">
        <f>P14*(1-Annahmen!$B$17)+Q11*Annahmen!$B$12/(1-Annahmen!$B$15*(1-Q6))</f>
        <v/>
      </c>
      <c r="R14" s="22">
        <f>Q14*(1-Annahmen!$B$17)+R11*Annahmen!$B$12/(1-Annahmen!$B$15*(1-R6))</f>
        <v/>
      </c>
      <c r="S14" s="22">
        <f>R14*(1-Annahmen!$B$17)+S11*Annahmen!$B$12/(1-Annahmen!$B$15*(1-S6))</f>
        <v/>
      </c>
      <c r="T14" s="22">
        <f>S14*(1-Annahmen!$B$17)+T11*Annahmen!$B$12/(1-Annahmen!$B$15*(1-T6))</f>
        <v/>
      </c>
      <c r="U14" s="22">
        <f>T14*(1-Annahmen!$B$17)+U11*Annahmen!$B$12/(1-Annahmen!$B$15*(1-U6))</f>
        <v/>
      </c>
      <c r="V14" s="22">
        <f>U14*(1-Annahmen!$B$17)+V11*Annahmen!$B$12/(1-Annahmen!$B$15*(1-V6))</f>
        <v/>
      </c>
      <c r="W14" s="22">
        <f>V14*(1-Annahmen!$B$17)+W11*Annahmen!$B$12/(1-Annahmen!$B$15*(1-W6))</f>
        <v/>
      </c>
      <c r="X14" s="22">
        <f>W14*(1-Annahmen!$B$17)+X11*Annahmen!$B$12/(1-Annahmen!$B$15*(1-X6))</f>
        <v/>
      </c>
      <c r="Y14" s="22">
        <f>X14*(1-Annahmen!$B$17)+Y11*Annahmen!$B$12/(1-Annahmen!$B$15*(1-Y6))</f>
        <v/>
      </c>
    </row>
    <row r="15">
      <c r="A15" s="5" t="inlineStr">
        <is>
          <t>Aktive Programm-Kunden</t>
        </is>
      </c>
      <c r="B15" s="22">
        <f>0*(1-Annahmen!$B$18)+B11*Annahmen!$B$13/(1-Annahmen!$B$15*(1-B6))</f>
        <v/>
      </c>
      <c r="C15" s="22">
        <f>B15*(1-Annahmen!$B$18)+C11*Annahmen!$B$13/(1-Annahmen!$B$15*(1-C6))</f>
        <v/>
      </c>
      <c r="D15" s="22">
        <f>C15*(1-Annahmen!$B$18)+D11*Annahmen!$B$13/(1-Annahmen!$B$15*(1-D6))</f>
        <v/>
      </c>
      <c r="E15" s="22">
        <f>D15*(1-Annahmen!$B$18)+E11*Annahmen!$B$13/(1-Annahmen!$B$15*(1-E6))</f>
        <v/>
      </c>
      <c r="F15" s="22">
        <f>E15*(1-Annahmen!$B$18)+F11*Annahmen!$B$13/(1-Annahmen!$B$15*(1-F6))</f>
        <v/>
      </c>
      <c r="G15" s="22">
        <f>F15*(1-Annahmen!$B$18)+G11*Annahmen!$B$13/(1-Annahmen!$B$15*(1-G6))</f>
        <v/>
      </c>
      <c r="H15" s="22">
        <f>G15*(1-Annahmen!$B$18)+H11*Annahmen!$B$13/(1-Annahmen!$B$15*(1-H6))</f>
        <v/>
      </c>
      <c r="I15" s="22">
        <f>H15*(1-Annahmen!$B$18)+I11*Annahmen!$B$13/(1-Annahmen!$B$15*(1-I6))</f>
        <v/>
      </c>
      <c r="J15" s="22">
        <f>I15*(1-Annahmen!$B$18)+J11*Annahmen!$B$13/(1-Annahmen!$B$15*(1-J6))</f>
        <v/>
      </c>
      <c r="K15" s="22">
        <f>J15*(1-Annahmen!$B$18)+K11*Annahmen!$B$13/(1-Annahmen!$B$15*(1-K6))</f>
        <v/>
      </c>
      <c r="L15" s="22">
        <f>K15*(1-Annahmen!$B$18)+L11*Annahmen!$B$13/(1-Annahmen!$B$15*(1-L6))</f>
        <v/>
      </c>
      <c r="M15" s="22">
        <f>L15*(1-Annahmen!$B$18)+M11*Annahmen!$B$13/(1-Annahmen!$B$15*(1-M6))</f>
        <v/>
      </c>
      <c r="N15" s="22">
        <f>M15*(1-Annahmen!$B$18)+N11*Annahmen!$B$13/(1-Annahmen!$B$15*(1-N6))</f>
        <v/>
      </c>
      <c r="O15" s="22">
        <f>N15*(1-Annahmen!$B$18)+O11*Annahmen!$B$13/(1-Annahmen!$B$15*(1-O6))</f>
        <v/>
      </c>
      <c r="P15" s="22">
        <f>O15*(1-Annahmen!$B$18)+P11*Annahmen!$B$13/(1-Annahmen!$B$15*(1-P6))</f>
        <v/>
      </c>
      <c r="Q15" s="22">
        <f>P15*(1-Annahmen!$B$18)+Q11*Annahmen!$B$13/(1-Annahmen!$B$15*(1-Q6))</f>
        <v/>
      </c>
      <c r="R15" s="22">
        <f>Q15*(1-Annahmen!$B$18)+R11*Annahmen!$B$13/(1-Annahmen!$B$15*(1-R6))</f>
        <v/>
      </c>
      <c r="S15" s="22">
        <f>R15*(1-Annahmen!$B$18)+S11*Annahmen!$B$13/(1-Annahmen!$B$15*(1-S6))</f>
        <v/>
      </c>
      <c r="T15" s="22">
        <f>S15*(1-Annahmen!$B$18)+T11*Annahmen!$B$13/(1-Annahmen!$B$15*(1-T6))</f>
        <v/>
      </c>
      <c r="U15" s="22">
        <f>T15*(1-Annahmen!$B$18)+U11*Annahmen!$B$13/(1-Annahmen!$B$15*(1-U6))</f>
        <v/>
      </c>
      <c r="V15" s="22">
        <f>U15*(1-Annahmen!$B$18)+V11*Annahmen!$B$13/(1-Annahmen!$B$15*(1-V6))</f>
        <v/>
      </c>
      <c r="W15" s="22">
        <f>V15*(1-Annahmen!$B$18)+W11*Annahmen!$B$13/(1-Annahmen!$B$15*(1-W6))</f>
        <v/>
      </c>
      <c r="X15" s="22">
        <f>W15*(1-Annahmen!$B$18)+X11*Annahmen!$B$13/(1-Annahmen!$B$15*(1-X6))</f>
        <v/>
      </c>
      <c r="Y15" s="22">
        <f>X15*(1-Annahmen!$B$18)+Y11*Annahmen!$B$13/(1-Annahmen!$B$15*(1-Y6))</f>
        <v/>
      </c>
    </row>
    <row r="16">
      <c r="A16" s="5" t="inlineStr">
        <is>
          <t>Aktive SEO-Kunden</t>
        </is>
      </c>
      <c r="B16" s="22">
        <f>0*(1-Annahmen!$B$19)+B11*Annahmen!$B$14/(1-Annahmen!$B$15*(1-B6))</f>
        <v/>
      </c>
      <c r="C16" s="22">
        <f>B16*(1-Annahmen!$B$19)+C11*Annahmen!$B$14/(1-Annahmen!$B$15*(1-C6))</f>
        <v/>
      </c>
      <c r="D16" s="22">
        <f>C16*(1-Annahmen!$B$19)+D11*Annahmen!$B$14/(1-Annahmen!$B$15*(1-D6))</f>
        <v/>
      </c>
      <c r="E16" s="22">
        <f>D16*(1-Annahmen!$B$19)+E11*Annahmen!$B$14/(1-Annahmen!$B$15*(1-E6))</f>
        <v/>
      </c>
      <c r="F16" s="22">
        <f>E16*(1-Annahmen!$B$19)+F11*Annahmen!$B$14/(1-Annahmen!$B$15*(1-F6))</f>
        <v/>
      </c>
      <c r="G16" s="22">
        <f>F16*(1-Annahmen!$B$19)+G11*Annahmen!$B$14/(1-Annahmen!$B$15*(1-G6))</f>
        <v/>
      </c>
      <c r="H16" s="22">
        <f>G16*(1-Annahmen!$B$19)+H11*Annahmen!$B$14/(1-Annahmen!$B$15*(1-H6))</f>
        <v/>
      </c>
      <c r="I16" s="22">
        <f>H16*(1-Annahmen!$B$19)+I11*Annahmen!$B$14/(1-Annahmen!$B$15*(1-I6))</f>
        <v/>
      </c>
      <c r="J16" s="22">
        <f>I16*(1-Annahmen!$B$19)+J11*Annahmen!$B$14/(1-Annahmen!$B$15*(1-J6))</f>
        <v/>
      </c>
      <c r="K16" s="22">
        <f>J16*(1-Annahmen!$B$19)+K11*Annahmen!$B$14/(1-Annahmen!$B$15*(1-K6))</f>
        <v/>
      </c>
      <c r="L16" s="22">
        <f>K16*(1-Annahmen!$B$19)+L11*Annahmen!$B$14/(1-Annahmen!$B$15*(1-L6))</f>
        <v/>
      </c>
      <c r="M16" s="22">
        <f>L16*(1-Annahmen!$B$19)+M11*Annahmen!$B$14/(1-Annahmen!$B$15*(1-M6))</f>
        <v/>
      </c>
      <c r="N16" s="22">
        <f>M16*(1-Annahmen!$B$19)+N11*Annahmen!$B$14/(1-Annahmen!$B$15*(1-N6))</f>
        <v/>
      </c>
      <c r="O16" s="22">
        <f>N16*(1-Annahmen!$B$19)+O11*Annahmen!$B$14/(1-Annahmen!$B$15*(1-O6))</f>
        <v/>
      </c>
      <c r="P16" s="22">
        <f>O16*(1-Annahmen!$B$19)+P11*Annahmen!$B$14/(1-Annahmen!$B$15*(1-P6))</f>
        <v/>
      </c>
      <c r="Q16" s="22">
        <f>P16*(1-Annahmen!$B$19)+Q11*Annahmen!$B$14/(1-Annahmen!$B$15*(1-Q6))</f>
        <v/>
      </c>
      <c r="R16" s="22">
        <f>Q16*(1-Annahmen!$B$19)+R11*Annahmen!$B$14/(1-Annahmen!$B$15*(1-R6))</f>
        <v/>
      </c>
      <c r="S16" s="22">
        <f>R16*(1-Annahmen!$B$19)+S11*Annahmen!$B$14/(1-Annahmen!$B$15*(1-S6))</f>
        <v/>
      </c>
      <c r="T16" s="22">
        <f>S16*(1-Annahmen!$B$19)+T11*Annahmen!$B$14/(1-Annahmen!$B$15*(1-T6))</f>
        <v/>
      </c>
      <c r="U16" s="22">
        <f>T16*(1-Annahmen!$B$19)+U11*Annahmen!$B$14/(1-Annahmen!$B$15*(1-U6))</f>
        <v/>
      </c>
      <c r="V16" s="22">
        <f>U16*(1-Annahmen!$B$19)+V11*Annahmen!$B$14/(1-Annahmen!$B$15*(1-V6))</f>
        <v/>
      </c>
      <c r="W16" s="22">
        <f>V16*(1-Annahmen!$B$19)+W11*Annahmen!$B$14/(1-Annahmen!$B$15*(1-W6))</f>
        <v/>
      </c>
      <c r="X16" s="22">
        <f>W16*(1-Annahmen!$B$19)+X11*Annahmen!$B$14/(1-Annahmen!$B$15*(1-X6))</f>
        <v/>
      </c>
      <c r="Y16" s="22">
        <f>X16*(1-Annahmen!$B$19)+Y11*Annahmen!$B$14/(1-Annahmen!$B$15*(1-Y6))</f>
        <v/>
      </c>
    </row>
    <row r="17">
      <c r="A17" s="5" t="inlineStr">
        <is>
          <t>Aktive Recruiting-Kunden</t>
        </is>
      </c>
      <c r="B17" s="22">
        <f>0*(1-Annahmen!$B$20)+B11*Annahmen!$B$15*B6</f>
        <v/>
      </c>
      <c r="C17" s="22">
        <f>B17*(1-Annahmen!$B$20)+C11*Annahmen!$B$15*C6</f>
        <v/>
      </c>
      <c r="D17" s="22">
        <f>C17*(1-Annahmen!$B$20)+D11*Annahmen!$B$15*D6</f>
        <v/>
      </c>
      <c r="E17" s="22">
        <f>D17*(1-Annahmen!$B$20)+E11*Annahmen!$B$15*E6</f>
        <v/>
      </c>
      <c r="F17" s="22">
        <f>E17*(1-Annahmen!$B$20)+F11*Annahmen!$B$15*F6</f>
        <v/>
      </c>
      <c r="G17" s="22">
        <f>F17*(1-Annahmen!$B$20)+G11*Annahmen!$B$15*G6</f>
        <v/>
      </c>
      <c r="H17" s="22">
        <f>G17*(1-Annahmen!$B$20)+H11*Annahmen!$B$15*H6</f>
        <v/>
      </c>
      <c r="I17" s="22">
        <f>H17*(1-Annahmen!$B$20)+I11*Annahmen!$B$15*I6</f>
        <v/>
      </c>
      <c r="J17" s="22">
        <f>I17*(1-Annahmen!$B$20)+J11*Annahmen!$B$15*J6</f>
        <v/>
      </c>
      <c r="K17" s="22">
        <f>J17*(1-Annahmen!$B$20)+K11*Annahmen!$B$15*K6</f>
        <v/>
      </c>
      <c r="L17" s="22">
        <f>K17*(1-Annahmen!$B$20)+L11*Annahmen!$B$15*L6</f>
        <v/>
      </c>
      <c r="M17" s="22">
        <f>L17*(1-Annahmen!$B$20)+M11*Annahmen!$B$15*M6</f>
        <v/>
      </c>
      <c r="N17" s="22">
        <f>M17*(1-Annahmen!$B$20)+N11*Annahmen!$B$15*N6</f>
        <v/>
      </c>
      <c r="O17" s="22">
        <f>N17*(1-Annahmen!$B$20)+O11*Annahmen!$B$15*O6</f>
        <v/>
      </c>
      <c r="P17" s="22">
        <f>O17*(1-Annahmen!$B$20)+P11*Annahmen!$B$15*P6</f>
        <v/>
      </c>
      <c r="Q17" s="22">
        <f>P17*(1-Annahmen!$B$20)+Q11*Annahmen!$B$15*Q6</f>
        <v/>
      </c>
      <c r="R17" s="22">
        <f>Q17*(1-Annahmen!$B$20)+R11*Annahmen!$B$15*R6</f>
        <v/>
      </c>
      <c r="S17" s="22">
        <f>R17*(1-Annahmen!$B$20)+S11*Annahmen!$B$15*S6</f>
        <v/>
      </c>
      <c r="T17" s="22">
        <f>S17*(1-Annahmen!$B$20)+T11*Annahmen!$B$15*T6</f>
        <v/>
      </c>
      <c r="U17" s="22">
        <f>T17*(1-Annahmen!$B$20)+U11*Annahmen!$B$15*U6</f>
        <v/>
      </c>
      <c r="V17" s="22">
        <f>U17*(1-Annahmen!$B$20)+V11*Annahmen!$B$15*V6</f>
        <v/>
      </c>
      <c r="W17" s="22">
        <f>V17*(1-Annahmen!$B$20)+W11*Annahmen!$B$15*W6</f>
        <v/>
      </c>
      <c r="X17" s="22">
        <f>W17*(1-Annahmen!$B$20)+X11*Annahmen!$B$15*X6</f>
        <v/>
      </c>
      <c r="Y17" s="22">
        <f>X17*(1-Annahmen!$B$20)+Y11*Annahmen!$B$15*Y6</f>
        <v/>
      </c>
    </row>
    <row r="18">
      <c r="A18" s="24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  <c r="T18" s="24" t="n"/>
      <c r="U18" s="24" t="n"/>
      <c r="V18" s="24" t="n"/>
      <c r="W18" s="24" t="n"/>
      <c r="X18" s="24" t="n"/>
      <c r="Y18" s="24" t="n"/>
    </row>
    <row r="19">
      <c r="A19" s="7" t="inlineStr">
        <is>
          <t>MRR</t>
        </is>
      </c>
      <c r="B19" s="25">
        <f>B14*Annahmen!$B$6+B15*Annahmen!$B$7+B16*Annahmen!$B$9+B17*Annahmen!$B$10</f>
        <v/>
      </c>
      <c r="C19" s="25">
        <f>C14*Annahmen!$B$6+C15*Annahmen!$B$7+C16*Annahmen!$B$9+C17*Annahmen!$B$10</f>
        <v/>
      </c>
      <c r="D19" s="25">
        <f>D14*Annahmen!$B$6+D15*Annahmen!$B$7+D16*Annahmen!$B$9+D17*Annahmen!$B$10</f>
        <v/>
      </c>
      <c r="E19" s="25">
        <f>E14*Annahmen!$B$6+E15*Annahmen!$B$7+E16*Annahmen!$B$9+E17*Annahmen!$B$10</f>
        <v/>
      </c>
      <c r="F19" s="25">
        <f>F14*Annahmen!$B$6+F15*Annahmen!$B$7+F16*Annahmen!$B$9+F17*Annahmen!$B$10</f>
        <v/>
      </c>
      <c r="G19" s="25">
        <f>G14*Annahmen!$B$6+G15*Annahmen!$B$7+G16*Annahmen!$B$9+G17*Annahmen!$B$10</f>
        <v/>
      </c>
      <c r="H19" s="25">
        <f>H14*Annahmen!$B$6+H15*Annahmen!$B$7+H16*Annahmen!$B$9+H17*Annahmen!$B$10</f>
        <v/>
      </c>
      <c r="I19" s="25">
        <f>I14*Annahmen!$B$6+I15*Annahmen!$B$7+I16*Annahmen!$B$9+I17*Annahmen!$B$10</f>
        <v/>
      </c>
      <c r="J19" s="25">
        <f>J14*Annahmen!$B$6+J15*Annahmen!$B$7+J16*Annahmen!$B$9+J17*Annahmen!$B$10</f>
        <v/>
      </c>
      <c r="K19" s="25">
        <f>K14*Annahmen!$B$6+K15*Annahmen!$B$7+K16*Annahmen!$B$9+K17*Annahmen!$B$10</f>
        <v/>
      </c>
      <c r="L19" s="25">
        <f>L14*Annahmen!$B$6+L15*Annahmen!$B$7+L16*Annahmen!$B$9+L17*Annahmen!$B$10</f>
        <v/>
      </c>
      <c r="M19" s="25">
        <f>M14*Annahmen!$B$6+M15*Annahmen!$B$7+M16*Annahmen!$B$9+M17*Annahmen!$B$10</f>
        <v/>
      </c>
      <c r="N19" s="25">
        <f>N14*Annahmen!$B$6+N15*Annahmen!$B$7+N16*Annahmen!$B$9+N17*Annahmen!$B$10</f>
        <v/>
      </c>
      <c r="O19" s="25">
        <f>O14*Annahmen!$B$6+O15*Annahmen!$B$7+O16*Annahmen!$B$9+O17*Annahmen!$B$10</f>
        <v/>
      </c>
      <c r="P19" s="25">
        <f>P14*Annahmen!$B$6+P15*Annahmen!$B$7+P16*Annahmen!$B$9+P17*Annahmen!$B$10</f>
        <v/>
      </c>
      <c r="Q19" s="25">
        <f>Q14*Annahmen!$B$6+Q15*Annahmen!$B$7+Q16*Annahmen!$B$9+Q17*Annahmen!$B$10</f>
        <v/>
      </c>
      <c r="R19" s="25">
        <f>R14*Annahmen!$B$6+R15*Annahmen!$B$7+R16*Annahmen!$B$9+R17*Annahmen!$B$10</f>
        <v/>
      </c>
      <c r="S19" s="25">
        <f>S14*Annahmen!$B$6+S15*Annahmen!$B$7+S16*Annahmen!$B$9+S17*Annahmen!$B$10</f>
        <v/>
      </c>
      <c r="T19" s="25">
        <f>T14*Annahmen!$B$6+T15*Annahmen!$B$7+T16*Annahmen!$B$9+T17*Annahmen!$B$10</f>
        <v/>
      </c>
      <c r="U19" s="25">
        <f>U14*Annahmen!$B$6+U15*Annahmen!$B$7+U16*Annahmen!$B$9+U17*Annahmen!$B$10</f>
        <v/>
      </c>
      <c r="V19" s="25">
        <f>V14*Annahmen!$B$6+V15*Annahmen!$B$7+V16*Annahmen!$B$9+V17*Annahmen!$B$10</f>
        <v/>
      </c>
      <c r="W19" s="25">
        <f>W14*Annahmen!$B$6+W15*Annahmen!$B$7+W16*Annahmen!$B$9+W17*Annahmen!$B$10</f>
        <v/>
      </c>
      <c r="X19" s="25">
        <f>X14*Annahmen!$B$6+X15*Annahmen!$B$7+X16*Annahmen!$B$9+X17*Annahmen!$B$10</f>
        <v/>
      </c>
      <c r="Y19" s="25">
        <f>Y14*Annahmen!$B$6+Y15*Annahmen!$B$7+Y16*Annahmen!$B$9+Y17*Annahmen!$B$10</f>
        <v/>
      </c>
    </row>
    <row r="20">
      <c r="A20" s="5" t="inlineStr">
        <is>
          <t>Einmalumsatz</t>
        </is>
      </c>
      <c r="B20" s="26">
        <f>B11*(Annahmen!$B$12/(1-Annahmen!$B$15*(1-B6))*Annahmen!$B$5+Annahmen!$B$13/(1-Annahmen!$B$15*(1-B6))*Annahmen!$B$8+Annahmen!$B$15*B6*Annahmen!$B$11)</f>
        <v/>
      </c>
      <c r="C20" s="26">
        <f>C11*(Annahmen!$B$12/(1-Annahmen!$B$15*(1-C6))*Annahmen!$B$5+Annahmen!$B$13/(1-Annahmen!$B$15*(1-C6))*Annahmen!$B$8+Annahmen!$B$15*C6*Annahmen!$B$11)</f>
        <v/>
      </c>
      <c r="D20" s="26">
        <f>D11*(Annahmen!$B$12/(1-Annahmen!$B$15*(1-D6))*Annahmen!$B$5+Annahmen!$B$13/(1-Annahmen!$B$15*(1-D6))*Annahmen!$B$8+Annahmen!$B$15*D6*Annahmen!$B$11)</f>
        <v/>
      </c>
      <c r="E20" s="26">
        <f>E11*(Annahmen!$B$12/(1-Annahmen!$B$15*(1-E6))*Annahmen!$B$5+Annahmen!$B$13/(1-Annahmen!$B$15*(1-E6))*Annahmen!$B$8+Annahmen!$B$15*E6*Annahmen!$B$11)</f>
        <v/>
      </c>
      <c r="F20" s="26">
        <f>F11*(Annahmen!$B$12/(1-Annahmen!$B$15*(1-F6))*Annahmen!$B$5+Annahmen!$B$13/(1-Annahmen!$B$15*(1-F6))*Annahmen!$B$8+Annahmen!$B$15*F6*Annahmen!$B$11)</f>
        <v/>
      </c>
      <c r="G20" s="26">
        <f>G11*(Annahmen!$B$12/(1-Annahmen!$B$15*(1-G6))*Annahmen!$B$5+Annahmen!$B$13/(1-Annahmen!$B$15*(1-G6))*Annahmen!$B$8+Annahmen!$B$15*G6*Annahmen!$B$11)</f>
        <v/>
      </c>
      <c r="H20" s="26">
        <f>H11*(Annahmen!$B$12/(1-Annahmen!$B$15*(1-H6))*Annahmen!$B$5+Annahmen!$B$13/(1-Annahmen!$B$15*(1-H6))*Annahmen!$B$8+Annahmen!$B$15*H6*Annahmen!$B$11)</f>
        <v/>
      </c>
      <c r="I20" s="26">
        <f>I11*(Annahmen!$B$12/(1-Annahmen!$B$15*(1-I6))*Annahmen!$B$5+Annahmen!$B$13/(1-Annahmen!$B$15*(1-I6))*Annahmen!$B$8+Annahmen!$B$15*I6*Annahmen!$B$11)</f>
        <v/>
      </c>
      <c r="J20" s="26">
        <f>J11*(Annahmen!$B$12/(1-Annahmen!$B$15*(1-J6))*Annahmen!$B$5+Annahmen!$B$13/(1-Annahmen!$B$15*(1-J6))*Annahmen!$B$8+Annahmen!$B$15*J6*Annahmen!$B$11)</f>
        <v/>
      </c>
      <c r="K20" s="26">
        <f>K11*(Annahmen!$B$12/(1-Annahmen!$B$15*(1-K6))*Annahmen!$B$5+Annahmen!$B$13/(1-Annahmen!$B$15*(1-K6))*Annahmen!$B$8+Annahmen!$B$15*K6*Annahmen!$B$11)</f>
        <v/>
      </c>
      <c r="L20" s="26">
        <f>L11*(Annahmen!$B$12/(1-Annahmen!$B$15*(1-L6))*Annahmen!$B$5+Annahmen!$B$13/(1-Annahmen!$B$15*(1-L6))*Annahmen!$B$8+Annahmen!$B$15*L6*Annahmen!$B$11)</f>
        <v/>
      </c>
      <c r="M20" s="26">
        <f>M11*(Annahmen!$B$12/(1-Annahmen!$B$15*(1-M6))*Annahmen!$B$5+Annahmen!$B$13/(1-Annahmen!$B$15*(1-M6))*Annahmen!$B$8+Annahmen!$B$15*M6*Annahmen!$B$11)</f>
        <v/>
      </c>
      <c r="N20" s="26">
        <f>N11*(Annahmen!$B$12/(1-Annahmen!$B$15*(1-N6))*Annahmen!$B$5+Annahmen!$B$13/(1-Annahmen!$B$15*(1-N6))*Annahmen!$B$8+Annahmen!$B$15*N6*Annahmen!$B$11)</f>
        <v/>
      </c>
      <c r="O20" s="26">
        <f>O11*(Annahmen!$B$12/(1-Annahmen!$B$15*(1-O6))*Annahmen!$B$5+Annahmen!$B$13/(1-Annahmen!$B$15*(1-O6))*Annahmen!$B$8+Annahmen!$B$15*O6*Annahmen!$B$11)</f>
        <v/>
      </c>
      <c r="P20" s="26">
        <f>P11*(Annahmen!$B$12/(1-Annahmen!$B$15*(1-P6))*Annahmen!$B$5+Annahmen!$B$13/(1-Annahmen!$B$15*(1-P6))*Annahmen!$B$8+Annahmen!$B$15*P6*Annahmen!$B$11)</f>
        <v/>
      </c>
      <c r="Q20" s="26">
        <f>Q11*(Annahmen!$B$12/(1-Annahmen!$B$15*(1-Q6))*Annahmen!$B$5+Annahmen!$B$13/(1-Annahmen!$B$15*(1-Q6))*Annahmen!$B$8+Annahmen!$B$15*Q6*Annahmen!$B$11)</f>
        <v/>
      </c>
      <c r="R20" s="26">
        <f>R11*(Annahmen!$B$12/(1-Annahmen!$B$15*(1-R6))*Annahmen!$B$5+Annahmen!$B$13/(1-Annahmen!$B$15*(1-R6))*Annahmen!$B$8+Annahmen!$B$15*R6*Annahmen!$B$11)</f>
        <v/>
      </c>
      <c r="S20" s="26">
        <f>S11*(Annahmen!$B$12/(1-Annahmen!$B$15*(1-S6))*Annahmen!$B$5+Annahmen!$B$13/(1-Annahmen!$B$15*(1-S6))*Annahmen!$B$8+Annahmen!$B$15*S6*Annahmen!$B$11)</f>
        <v/>
      </c>
      <c r="T20" s="26">
        <f>T11*(Annahmen!$B$12/(1-Annahmen!$B$15*(1-T6))*Annahmen!$B$5+Annahmen!$B$13/(1-Annahmen!$B$15*(1-T6))*Annahmen!$B$8+Annahmen!$B$15*T6*Annahmen!$B$11)</f>
        <v/>
      </c>
      <c r="U20" s="26">
        <f>U11*(Annahmen!$B$12/(1-Annahmen!$B$15*(1-U6))*Annahmen!$B$5+Annahmen!$B$13/(1-Annahmen!$B$15*(1-U6))*Annahmen!$B$8+Annahmen!$B$15*U6*Annahmen!$B$11)</f>
        <v/>
      </c>
      <c r="V20" s="26">
        <f>V11*(Annahmen!$B$12/(1-Annahmen!$B$15*(1-V6))*Annahmen!$B$5+Annahmen!$B$13/(1-Annahmen!$B$15*(1-V6))*Annahmen!$B$8+Annahmen!$B$15*V6*Annahmen!$B$11)</f>
        <v/>
      </c>
      <c r="W20" s="26">
        <f>W11*(Annahmen!$B$12/(1-Annahmen!$B$15*(1-W6))*Annahmen!$B$5+Annahmen!$B$13/(1-Annahmen!$B$15*(1-W6))*Annahmen!$B$8+Annahmen!$B$15*W6*Annahmen!$B$11)</f>
        <v/>
      </c>
      <c r="X20" s="26">
        <f>X11*(Annahmen!$B$12/(1-Annahmen!$B$15*(1-X6))*Annahmen!$B$5+Annahmen!$B$13/(1-Annahmen!$B$15*(1-X6))*Annahmen!$B$8+Annahmen!$B$15*X6*Annahmen!$B$11)</f>
        <v/>
      </c>
      <c r="Y20" s="26">
        <f>Y11*(Annahmen!$B$12/(1-Annahmen!$B$15*(1-Y6))*Annahmen!$B$5+Annahmen!$B$13/(1-Annahmen!$B$15*(1-Y6))*Annahmen!$B$8+Annahmen!$B$15*Y6*Annahmen!$B$11)</f>
        <v/>
      </c>
    </row>
    <row r="21">
      <c r="A21" s="7" t="inlineStr">
        <is>
          <t>Umsatz</t>
        </is>
      </c>
      <c r="B21" s="25">
        <f>B19+B20</f>
        <v/>
      </c>
      <c r="C21" s="25">
        <f>C19+C20</f>
        <v/>
      </c>
      <c r="D21" s="25">
        <f>D19+D20</f>
        <v/>
      </c>
      <c r="E21" s="25">
        <f>E19+E20</f>
        <v/>
      </c>
      <c r="F21" s="25">
        <f>F19+F20</f>
        <v/>
      </c>
      <c r="G21" s="25">
        <f>G19+G20</f>
        <v/>
      </c>
      <c r="H21" s="25">
        <f>H19+H20</f>
        <v/>
      </c>
      <c r="I21" s="25">
        <f>I19+I20</f>
        <v/>
      </c>
      <c r="J21" s="25">
        <f>J19+J20</f>
        <v/>
      </c>
      <c r="K21" s="25">
        <f>K19+K20</f>
        <v/>
      </c>
      <c r="L21" s="25">
        <f>L19+L20</f>
        <v/>
      </c>
      <c r="M21" s="25">
        <f>M19+M20</f>
        <v/>
      </c>
      <c r="N21" s="25">
        <f>N19+N20</f>
        <v/>
      </c>
      <c r="O21" s="25">
        <f>O19+O20</f>
        <v/>
      </c>
      <c r="P21" s="25">
        <f>P19+P20</f>
        <v/>
      </c>
      <c r="Q21" s="25">
        <f>Q19+Q20</f>
        <v/>
      </c>
      <c r="R21" s="25">
        <f>R19+R20</f>
        <v/>
      </c>
      <c r="S21" s="25">
        <f>S19+S20</f>
        <v/>
      </c>
      <c r="T21" s="25">
        <f>T19+T20</f>
        <v/>
      </c>
      <c r="U21" s="25">
        <f>U19+U20</f>
        <v/>
      </c>
      <c r="V21" s="25">
        <f>V19+V20</f>
        <v/>
      </c>
      <c r="W21" s="25">
        <f>W19+W20</f>
        <v/>
      </c>
      <c r="X21" s="25">
        <f>X19+X20</f>
        <v/>
      </c>
      <c r="Y21" s="25">
        <f>Y19+Y20</f>
        <v/>
      </c>
    </row>
    <row r="22">
      <c r="A22" s="5" t="inlineStr">
        <is>
          <t>Kosten</t>
        </is>
      </c>
      <c r="B22" s="26">
        <f>Annahmen!$B$42+Annahmen!$B$43+B7*Annahmen!$B$40</f>
        <v/>
      </c>
      <c r="C22" s="26">
        <f>Annahmen!$B$42+Annahmen!$B$43+C7*Annahmen!$B$40</f>
        <v/>
      </c>
      <c r="D22" s="26">
        <f>Annahmen!$B$42+Annahmen!$B$43+D7*Annahmen!$B$40</f>
        <v/>
      </c>
      <c r="E22" s="26">
        <f>Annahmen!$B$42+Annahmen!$B$43+E7*Annahmen!$B$40</f>
        <v/>
      </c>
      <c r="F22" s="26">
        <f>Annahmen!$B$42+Annahmen!$B$43+F7*Annahmen!$B$40</f>
        <v/>
      </c>
      <c r="G22" s="26">
        <f>Annahmen!$B$42+Annahmen!$B$43+G7*Annahmen!$B$40</f>
        <v/>
      </c>
      <c r="H22" s="26">
        <f>Annahmen!$B$42+Annahmen!$B$43+H7*Annahmen!$B$40</f>
        <v/>
      </c>
      <c r="I22" s="26">
        <f>Annahmen!$B$42+Annahmen!$B$43+I7*Annahmen!$B$40</f>
        <v/>
      </c>
      <c r="J22" s="26">
        <f>Annahmen!$B$42+Annahmen!$B$43+J7*Annahmen!$B$40</f>
        <v/>
      </c>
      <c r="K22" s="26">
        <f>Annahmen!$B$42+Annahmen!$B$43+K7*Annahmen!$B$40</f>
        <v/>
      </c>
      <c r="L22" s="26">
        <f>Annahmen!$B$42+Annahmen!$B$43+L7*Annahmen!$B$40</f>
        <v/>
      </c>
      <c r="M22" s="26">
        <f>Annahmen!$B$42+Annahmen!$B$43+M7*Annahmen!$B$40</f>
        <v/>
      </c>
      <c r="N22" s="26">
        <f>Annahmen!$B$42+Annahmen!$B$43+N7*Annahmen!$B$40</f>
        <v/>
      </c>
      <c r="O22" s="26">
        <f>Annahmen!$B$42+Annahmen!$B$43+O7*Annahmen!$B$40</f>
        <v/>
      </c>
      <c r="P22" s="26">
        <f>Annahmen!$B$42+Annahmen!$B$43+P7*Annahmen!$B$40</f>
        <v/>
      </c>
      <c r="Q22" s="26">
        <f>Annahmen!$B$42+Annahmen!$B$43+Q7*Annahmen!$B$40</f>
        <v/>
      </c>
      <c r="R22" s="26">
        <f>Annahmen!$B$42+Annahmen!$B$43+R7*Annahmen!$B$40</f>
        <v/>
      </c>
      <c r="S22" s="26">
        <f>Annahmen!$B$42+Annahmen!$B$43+S7*Annahmen!$B$40</f>
        <v/>
      </c>
      <c r="T22" s="26">
        <f>Annahmen!$B$42+Annahmen!$B$43+T7*Annahmen!$B$40</f>
        <v/>
      </c>
      <c r="U22" s="26">
        <f>Annahmen!$B$42+Annahmen!$B$43+U7*Annahmen!$B$40</f>
        <v/>
      </c>
      <c r="V22" s="26">
        <f>Annahmen!$B$42+Annahmen!$B$43+V7*Annahmen!$B$40</f>
        <v/>
      </c>
      <c r="W22" s="26">
        <f>Annahmen!$B$42+Annahmen!$B$43+W7*Annahmen!$B$40</f>
        <v/>
      </c>
      <c r="X22" s="26">
        <f>Annahmen!$B$42+Annahmen!$B$43+X7*Annahmen!$B$40</f>
        <v/>
      </c>
      <c r="Y22" s="26">
        <f>Annahmen!$B$42+Annahmen!$B$43+Y7*Annahmen!$B$40</f>
        <v/>
      </c>
    </row>
    <row r="23">
      <c r="A23" s="7" t="inlineStr">
        <is>
          <t>Ergebnis vor Steuern (= Einkommen Gründer)</t>
        </is>
      </c>
      <c r="B23" s="25">
        <f>B21-B22</f>
        <v/>
      </c>
      <c r="C23" s="25">
        <f>C21-C22</f>
        <v/>
      </c>
      <c r="D23" s="25">
        <f>D21-D22</f>
        <v/>
      </c>
      <c r="E23" s="25">
        <f>E21-E22</f>
        <v/>
      </c>
      <c r="F23" s="25">
        <f>F21-F22</f>
        <v/>
      </c>
      <c r="G23" s="25">
        <f>G21-G22</f>
        <v/>
      </c>
      <c r="H23" s="25">
        <f>H21-H22</f>
        <v/>
      </c>
      <c r="I23" s="25">
        <f>I21-I22</f>
        <v/>
      </c>
      <c r="J23" s="25">
        <f>J21-J22</f>
        <v/>
      </c>
      <c r="K23" s="25">
        <f>K21-K22</f>
        <v/>
      </c>
      <c r="L23" s="25">
        <f>L21-L22</f>
        <v/>
      </c>
      <c r="M23" s="25">
        <f>M21-M22</f>
        <v/>
      </c>
      <c r="N23" s="25">
        <f>N21-N22</f>
        <v/>
      </c>
      <c r="O23" s="25">
        <f>O21-O22</f>
        <v/>
      </c>
      <c r="P23" s="25">
        <f>P21-P22</f>
        <v/>
      </c>
      <c r="Q23" s="25">
        <f>Q21-Q22</f>
        <v/>
      </c>
      <c r="R23" s="25">
        <f>R21-R22</f>
        <v/>
      </c>
      <c r="S23" s="25">
        <f>S21-S22</f>
        <v/>
      </c>
      <c r="T23" s="25">
        <f>T21-T22</f>
        <v/>
      </c>
      <c r="U23" s="25">
        <f>U21-U22</f>
        <v/>
      </c>
      <c r="V23" s="25">
        <f>V21-V22</f>
        <v/>
      </c>
      <c r="W23" s="25">
        <f>W21-W22</f>
        <v/>
      </c>
      <c r="X23" s="25">
        <f>X21-X22</f>
        <v/>
      </c>
      <c r="Y23" s="25">
        <f>Y21-Y22</f>
        <v/>
      </c>
    </row>
    <row r="24">
      <c r="A24" s="7" t="inlineStr">
        <is>
          <t>Kasse kumuliert</t>
        </is>
      </c>
      <c r="B24" s="16">
        <f>B23</f>
        <v/>
      </c>
      <c r="C24" s="16">
        <f>B24+C23</f>
        <v/>
      </c>
      <c r="D24" s="16">
        <f>C24+D23</f>
        <v/>
      </c>
      <c r="E24" s="16">
        <f>D24+E23</f>
        <v/>
      </c>
      <c r="F24" s="16">
        <f>E24+F23</f>
        <v/>
      </c>
      <c r="G24" s="16">
        <f>F24+G23</f>
        <v/>
      </c>
      <c r="H24" s="16">
        <f>G24+H23</f>
        <v/>
      </c>
      <c r="I24" s="16">
        <f>H24+I23</f>
        <v/>
      </c>
      <c r="J24" s="16">
        <f>I24+J23</f>
        <v/>
      </c>
      <c r="K24" s="16">
        <f>J24+K23</f>
        <v/>
      </c>
      <c r="L24" s="16">
        <f>K24+L23</f>
        <v/>
      </c>
      <c r="M24" s="16">
        <f>L24+M23</f>
        <v/>
      </c>
      <c r="N24" s="16">
        <f>M24+N23</f>
        <v/>
      </c>
      <c r="O24" s="16">
        <f>N24+O23</f>
        <v/>
      </c>
      <c r="P24" s="16">
        <f>O24+P23</f>
        <v/>
      </c>
      <c r="Q24" s="16">
        <f>P24+Q23</f>
        <v/>
      </c>
      <c r="R24" s="16">
        <f>Q24+R23</f>
        <v/>
      </c>
      <c r="S24" s="16">
        <f>R24+S23</f>
        <v/>
      </c>
      <c r="T24" s="16">
        <f>S24+T23</f>
        <v/>
      </c>
      <c r="U24" s="16">
        <f>T24+U23</f>
        <v/>
      </c>
      <c r="V24" s="16">
        <f>U24+V23</f>
        <v/>
      </c>
      <c r="W24" s="16">
        <f>V24+W23</f>
        <v/>
      </c>
      <c r="X24" s="16">
        <f>W24+X23</f>
        <v/>
      </c>
      <c r="Y24" s="16">
        <f>X24+Y23</f>
        <v/>
      </c>
    </row>
    <row r="25">
      <c r="A25" s="5" t="inlineStr">
        <is>
          <t>Belegte Stunden</t>
        </is>
      </c>
      <c r="B25" s="22">
        <f>B9+B11*B8</f>
        <v/>
      </c>
      <c r="C25" s="22">
        <f>C9+C11*C8</f>
        <v/>
      </c>
      <c r="D25" s="22">
        <f>D9+D11*D8</f>
        <v/>
      </c>
      <c r="E25" s="22">
        <f>E9+E11*E8</f>
        <v/>
      </c>
      <c r="F25" s="22">
        <f>F9+F11*F8</f>
        <v/>
      </c>
      <c r="G25" s="22">
        <f>G9+G11*G8</f>
        <v/>
      </c>
      <c r="H25" s="22">
        <f>H9+H11*H8</f>
        <v/>
      </c>
      <c r="I25" s="22">
        <f>I9+I11*I8</f>
        <v/>
      </c>
      <c r="J25" s="22">
        <f>J9+J11*J8</f>
        <v/>
      </c>
      <c r="K25" s="22">
        <f>K9+K11*K8</f>
        <v/>
      </c>
      <c r="L25" s="22">
        <f>L9+L11*L8</f>
        <v/>
      </c>
      <c r="M25" s="22">
        <f>M9+M11*M8</f>
        <v/>
      </c>
      <c r="N25" s="22">
        <f>N9+N11*N8</f>
        <v/>
      </c>
      <c r="O25" s="22">
        <f>O9+O11*O8</f>
        <v/>
      </c>
      <c r="P25" s="22">
        <f>P9+P11*P8</f>
        <v/>
      </c>
      <c r="Q25" s="22">
        <f>Q9+Q11*Q8</f>
        <v/>
      </c>
      <c r="R25" s="22">
        <f>R9+R11*R8</f>
        <v/>
      </c>
      <c r="S25" s="22">
        <f>S9+S11*S8</f>
        <v/>
      </c>
      <c r="T25" s="22">
        <f>T9+T11*T8</f>
        <v/>
      </c>
      <c r="U25" s="22">
        <f>U9+U11*U8</f>
        <v/>
      </c>
      <c r="V25" s="22">
        <f>V9+V11*V8</f>
        <v/>
      </c>
      <c r="W25" s="22">
        <f>W9+W11*W8</f>
        <v/>
      </c>
      <c r="X25" s="22">
        <f>X9+X11*X8</f>
        <v/>
      </c>
      <c r="Y25" s="22">
        <f>Y9+Y11*Y8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Solo-Plan · Szenario Basis · automatisiert ab Kunde 5 (24 Monate ab Nov 2026)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</row>
    <row r="2">
      <c r="A2" s="3" t="inlineStr">
        <is>
          <t>Abschlüsse = Minimum aus Vertriebstempo und freien Stunden. Kundenzahlen sind Erwartungswerte.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</row>
    <row r="4">
      <c r="A4" s="4" t="inlineStr">
        <is>
          <t>Monat</t>
        </is>
      </c>
      <c r="B4" s="4" t="inlineStr">
        <is>
          <t>Nov 26</t>
        </is>
      </c>
      <c r="C4" s="4" t="inlineStr">
        <is>
          <t>Dez 26</t>
        </is>
      </c>
      <c r="D4" s="4" t="inlineStr">
        <is>
          <t>Jan 27</t>
        </is>
      </c>
      <c r="E4" s="4" t="inlineStr">
        <is>
          <t>Feb 27</t>
        </is>
      </c>
      <c r="F4" s="4" t="inlineStr">
        <is>
          <t>Mär 27</t>
        </is>
      </c>
      <c r="G4" s="4" t="inlineStr">
        <is>
          <t>Apr 27</t>
        </is>
      </c>
      <c r="H4" s="4" t="inlineStr">
        <is>
          <t>Mai 27</t>
        </is>
      </c>
      <c r="I4" s="4" t="inlineStr">
        <is>
          <t>Jun 27</t>
        </is>
      </c>
      <c r="J4" s="4" t="inlineStr">
        <is>
          <t>Jul 27</t>
        </is>
      </c>
      <c r="K4" s="4" t="inlineStr">
        <is>
          <t>Aug 27</t>
        </is>
      </c>
      <c r="L4" s="4" t="inlineStr">
        <is>
          <t>Sep 27</t>
        </is>
      </c>
      <c r="M4" s="4" t="inlineStr">
        <is>
          <t>Okt 27</t>
        </is>
      </c>
      <c r="N4" s="4" t="inlineStr">
        <is>
          <t>Nov 27</t>
        </is>
      </c>
      <c r="O4" s="4" t="inlineStr">
        <is>
          <t>Dez 27</t>
        </is>
      </c>
      <c r="P4" s="4" t="inlineStr">
        <is>
          <t>Jan 28</t>
        </is>
      </c>
      <c r="Q4" s="4" t="inlineStr">
        <is>
          <t>Feb 28</t>
        </is>
      </c>
      <c r="R4" s="4" t="inlineStr">
        <is>
          <t>Mär 28</t>
        </is>
      </c>
      <c r="S4" s="4" t="inlineStr">
        <is>
          <t>Apr 28</t>
        </is>
      </c>
      <c r="T4" s="4" t="inlineStr">
        <is>
          <t>Mai 28</t>
        </is>
      </c>
      <c r="U4" s="4" t="inlineStr">
        <is>
          <t>Jun 28</t>
        </is>
      </c>
      <c r="V4" s="4" t="inlineStr">
        <is>
          <t>Jul 28</t>
        </is>
      </c>
      <c r="W4" s="4" t="inlineStr">
        <is>
          <t>Aug 28</t>
        </is>
      </c>
      <c r="X4" s="4" t="inlineStr">
        <is>
          <t>Sep 28</t>
        </is>
      </c>
      <c r="Y4" s="4" t="inlineStr">
        <is>
          <t>Okt 28</t>
        </is>
      </c>
    </row>
    <row r="5">
      <c r="A5" s="5" t="inlineStr">
        <is>
          <t>Abschluss-Ziel (Vertrieb)</t>
        </is>
      </c>
      <c r="B5" s="22">
        <f>Annahmen!$C$48</f>
        <v/>
      </c>
      <c r="C5" s="22">
        <f>Annahmen!$C$48</f>
        <v/>
      </c>
      <c r="D5" s="22">
        <f>Annahmen!$C$49</f>
        <v/>
      </c>
      <c r="E5" s="22">
        <f>Annahmen!$C$49</f>
        <v/>
      </c>
      <c r="F5" s="22">
        <f>Annahmen!$C$49</f>
        <v/>
      </c>
      <c r="G5" s="22">
        <f>Annahmen!$C$49</f>
        <v/>
      </c>
      <c r="H5" s="22">
        <f>Annahmen!$C$49</f>
        <v/>
      </c>
      <c r="I5" s="22">
        <f>Annahmen!$C$49</f>
        <v/>
      </c>
      <c r="J5" s="22">
        <f>Annahmen!$C$49</f>
        <v/>
      </c>
      <c r="K5" s="22">
        <f>Annahmen!$C$49</f>
        <v/>
      </c>
      <c r="L5" s="22">
        <f>Annahmen!$C$49</f>
        <v/>
      </c>
      <c r="M5" s="22">
        <f>Annahmen!$C$49</f>
        <v/>
      </c>
      <c r="N5" s="22">
        <f>Annahmen!$C$49</f>
        <v/>
      </c>
      <c r="O5" s="22">
        <f>Annahmen!$C$49</f>
        <v/>
      </c>
      <c r="P5" s="22">
        <f>Annahmen!$C$49</f>
        <v/>
      </c>
      <c r="Q5" s="22">
        <f>Annahmen!$C$49</f>
        <v/>
      </c>
      <c r="R5" s="22">
        <f>Annahmen!$C$49</f>
        <v/>
      </c>
      <c r="S5" s="22">
        <f>Annahmen!$C$49</f>
        <v/>
      </c>
      <c r="T5" s="22">
        <f>Annahmen!$C$49</f>
        <v/>
      </c>
      <c r="U5" s="22">
        <f>Annahmen!$C$49</f>
        <v/>
      </c>
      <c r="V5" s="22">
        <f>Annahmen!$C$49</f>
        <v/>
      </c>
      <c r="W5" s="22">
        <f>Annahmen!$C$49</f>
        <v/>
      </c>
      <c r="X5" s="22">
        <f>Annahmen!$C$49</f>
        <v/>
      </c>
      <c r="Y5" s="22">
        <f>Annahmen!$C$49</f>
        <v/>
      </c>
    </row>
    <row r="6">
      <c r="A6" s="5" t="inlineStr">
        <is>
          <t>Recruiting im Verkauf (1 = ja)</t>
        </is>
      </c>
      <c r="B6" s="23">
        <f>IF(1&gt;=Annahmen!$B$16,1,0)</f>
        <v/>
      </c>
      <c r="C6" s="23">
        <f>IF(2&gt;=Annahmen!$B$16,1,0)</f>
        <v/>
      </c>
      <c r="D6" s="23">
        <f>IF(3&gt;=Annahmen!$B$16,1,0)</f>
        <v/>
      </c>
      <c r="E6" s="23">
        <f>IF(4&gt;=Annahmen!$B$16,1,0)</f>
        <v/>
      </c>
      <c r="F6" s="23">
        <f>IF(5&gt;=Annahmen!$B$16,1,0)</f>
        <v/>
      </c>
      <c r="G6" s="23">
        <f>IF(6&gt;=Annahmen!$B$16,1,0)</f>
        <v/>
      </c>
      <c r="H6" s="23">
        <f>IF(7&gt;=Annahmen!$B$16,1,0)</f>
        <v/>
      </c>
      <c r="I6" s="23">
        <f>IF(8&gt;=Annahmen!$B$16,1,0)</f>
        <v/>
      </c>
      <c r="J6" s="23">
        <f>IF(9&gt;=Annahmen!$B$16,1,0)</f>
        <v/>
      </c>
      <c r="K6" s="23">
        <f>IF(10&gt;=Annahmen!$B$16,1,0)</f>
        <v/>
      </c>
      <c r="L6" s="23">
        <f>IF(11&gt;=Annahmen!$B$16,1,0)</f>
        <v/>
      </c>
      <c r="M6" s="23">
        <f>IF(12&gt;=Annahmen!$B$16,1,0)</f>
        <v/>
      </c>
      <c r="N6" s="23">
        <f>IF(13&gt;=Annahmen!$B$16,1,0)</f>
        <v/>
      </c>
      <c r="O6" s="23">
        <f>IF(14&gt;=Annahmen!$B$16,1,0)</f>
        <v/>
      </c>
      <c r="P6" s="23">
        <f>IF(15&gt;=Annahmen!$B$16,1,0)</f>
        <v/>
      </c>
      <c r="Q6" s="23">
        <f>IF(16&gt;=Annahmen!$B$16,1,0)</f>
        <v/>
      </c>
      <c r="R6" s="23">
        <f>IF(17&gt;=Annahmen!$B$16,1,0)</f>
        <v/>
      </c>
      <c r="S6" s="23">
        <f>IF(18&gt;=Annahmen!$B$16,1,0)</f>
        <v/>
      </c>
      <c r="T6" s="23">
        <f>IF(19&gt;=Annahmen!$B$16,1,0)</f>
        <v/>
      </c>
      <c r="U6" s="23">
        <f>IF(20&gt;=Annahmen!$B$16,1,0)</f>
        <v/>
      </c>
      <c r="V6" s="23">
        <f>IF(21&gt;=Annahmen!$B$16,1,0)</f>
        <v/>
      </c>
      <c r="W6" s="23">
        <f>IF(22&gt;=Annahmen!$B$16,1,0)</f>
        <v/>
      </c>
      <c r="X6" s="23">
        <f>IF(23&gt;=Annahmen!$B$16,1,0)</f>
        <v/>
      </c>
      <c r="Y6" s="23">
        <f>IF(24&gt;=Annahmen!$B$16,1,0)</f>
        <v/>
      </c>
    </row>
    <row r="7">
      <c r="A7" s="5" t="inlineStr">
        <is>
          <t>Automatisierung aktiv (1 = ja)</t>
        </is>
      </c>
      <c r="B7" s="23">
        <f>IF(0&gt;=Annahmen!$B$39-1,1,0)</f>
        <v/>
      </c>
      <c r="C7" s="23">
        <f>IF(B12&gt;=Annahmen!$B$39-1,1,0)</f>
        <v/>
      </c>
      <c r="D7" s="23">
        <f>IF(C12&gt;=Annahmen!$B$39-1,1,0)</f>
        <v/>
      </c>
      <c r="E7" s="23">
        <f>IF(D12&gt;=Annahmen!$B$39-1,1,0)</f>
        <v/>
      </c>
      <c r="F7" s="23">
        <f>IF(E12&gt;=Annahmen!$B$39-1,1,0)</f>
        <v/>
      </c>
      <c r="G7" s="23">
        <f>IF(F12&gt;=Annahmen!$B$39-1,1,0)</f>
        <v/>
      </c>
      <c r="H7" s="23">
        <f>IF(G12&gt;=Annahmen!$B$39-1,1,0)</f>
        <v/>
      </c>
      <c r="I7" s="23">
        <f>IF(H12&gt;=Annahmen!$B$39-1,1,0)</f>
        <v/>
      </c>
      <c r="J7" s="23">
        <f>IF(I12&gt;=Annahmen!$B$39-1,1,0)</f>
        <v/>
      </c>
      <c r="K7" s="23">
        <f>IF(J12&gt;=Annahmen!$B$39-1,1,0)</f>
        <v/>
      </c>
      <c r="L7" s="23">
        <f>IF(K12&gt;=Annahmen!$B$39-1,1,0)</f>
        <v/>
      </c>
      <c r="M7" s="23">
        <f>IF(L12&gt;=Annahmen!$B$39-1,1,0)</f>
        <v/>
      </c>
      <c r="N7" s="23">
        <f>IF(M12&gt;=Annahmen!$B$39-1,1,0)</f>
        <v/>
      </c>
      <c r="O7" s="23">
        <f>IF(N12&gt;=Annahmen!$B$39-1,1,0)</f>
        <v/>
      </c>
      <c r="P7" s="23">
        <f>IF(O12&gt;=Annahmen!$B$39-1,1,0)</f>
        <v/>
      </c>
      <c r="Q7" s="23">
        <f>IF(P12&gt;=Annahmen!$B$39-1,1,0)</f>
        <v/>
      </c>
      <c r="R7" s="23">
        <f>IF(Q12&gt;=Annahmen!$B$39-1,1,0)</f>
        <v/>
      </c>
      <c r="S7" s="23">
        <f>IF(R12&gt;=Annahmen!$B$39-1,1,0)</f>
        <v/>
      </c>
      <c r="T7" s="23">
        <f>IF(S12&gt;=Annahmen!$B$39-1,1,0)</f>
        <v/>
      </c>
      <c r="U7" s="23">
        <f>IF(T12&gt;=Annahmen!$B$39-1,1,0)</f>
        <v/>
      </c>
      <c r="V7" s="23">
        <f>IF(U12&gt;=Annahmen!$B$39-1,1,0)</f>
        <v/>
      </c>
      <c r="W7" s="23">
        <f>IF(V12&gt;=Annahmen!$B$39-1,1,0)</f>
        <v/>
      </c>
      <c r="X7" s="23">
        <f>IF(W12&gt;=Annahmen!$B$39-1,1,0)</f>
        <v/>
      </c>
      <c r="Y7" s="23">
        <f>IF(X12&gt;=Annahmen!$B$39-1,1,0)</f>
        <v/>
      </c>
    </row>
    <row r="8">
      <c r="A8" s="5" t="inlineStr">
        <is>
          <t>Std. je neuem Abschluss</t>
        </is>
      </c>
      <c r="B8" s="22">
        <f>Annahmen!$B$12/(1-Annahmen!$B$15*(1-B6))*((Annahmen!$B$21+B7*(Annahmen!$B$30-Annahmen!$B$21))+(Annahmen!$B$25+B7*(Annahmen!$B$34-Annahmen!$B$25))+(Annahmen!$B$29+B7*(Annahmen!$B$38-Annahmen!$B$29)))+Annahmen!$B$13/(1-Annahmen!$B$15*(1-B6))*((Annahmen!$B$22+B7*(Annahmen!$B$31-Annahmen!$B$22))+(Annahmen!$B$26+B7*(Annahmen!$B$35-Annahmen!$B$26))+(Annahmen!$B$29+B7*(Annahmen!$B$38-Annahmen!$B$29)))+Annahmen!$B$14/(1-Annahmen!$B$15*(1-B6))*((Annahmen!$B$23+B7*(Annahmen!$B$32-Annahmen!$B$23))+(Annahmen!$B$27+B7*(Annahmen!$B$36-Annahmen!$B$27))+(Annahmen!$B$29+B7*(Annahmen!$B$38-Annahmen!$B$29)))+Annahmen!$B$15*B6*((Annahmen!$B$24+B7*(Annahmen!$B$33-Annahmen!$B$24))+(Annahmen!$B$28+B7*(Annahmen!$B$37-Annahmen!$B$28))+(Annahmen!$B$29+B7*(Annahmen!$B$38-Annahmen!$B$29)))</f>
        <v/>
      </c>
      <c r="C8" s="22">
        <f>Annahmen!$B$12/(1-Annahmen!$B$15*(1-C6))*((Annahmen!$B$21+C7*(Annahmen!$B$30-Annahmen!$B$21))+(Annahmen!$B$25+C7*(Annahmen!$B$34-Annahmen!$B$25))+(Annahmen!$B$29+C7*(Annahmen!$B$38-Annahmen!$B$29)))+Annahmen!$B$13/(1-Annahmen!$B$15*(1-C6))*((Annahmen!$B$22+C7*(Annahmen!$B$31-Annahmen!$B$22))+(Annahmen!$B$26+C7*(Annahmen!$B$35-Annahmen!$B$26))+(Annahmen!$B$29+C7*(Annahmen!$B$38-Annahmen!$B$29)))+Annahmen!$B$14/(1-Annahmen!$B$15*(1-C6))*((Annahmen!$B$23+C7*(Annahmen!$B$32-Annahmen!$B$23))+(Annahmen!$B$27+C7*(Annahmen!$B$36-Annahmen!$B$27))+(Annahmen!$B$29+C7*(Annahmen!$B$38-Annahmen!$B$29)))+Annahmen!$B$15*C6*((Annahmen!$B$24+C7*(Annahmen!$B$33-Annahmen!$B$24))+(Annahmen!$B$28+C7*(Annahmen!$B$37-Annahmen!$B$28))+(Annahmen!$B$29+C7*(Annahmen!$B$38-Annahmen!$B$29)))</f>
        <v/>
      </c>
      <c r="D8" s="22">
        <f>Annahmen!$B$12/(1-Annahmen!$B$15*(1-D6))*((Annahmen!$B$21+D7*(Annahmen!$B$30-Annahmen!$B$21))+(Annahmen!$B$25+D7*(Annahmen!$B$34-Annahmen!$B$25))+(Annahmen!$B$29+D7*(Annahmen!$B$38-Annahmen!$B$29)))+Annahmen!$B$13/(1-Annahmen!$B$15*(1-D6))*((Annahmen!$B$22+D7*(Annahmen!$B$31-Annahmen!$B$22))+(Annahmen!$B$26+D7*(Annahmen!$B$35-Annahmen!$B$26))+(Annahmen!$B$29+D7*(Annahmen!$B$38-Annahmen!$B$29)))+Annahmen!$B$14/(1-Annahmen!$B$15*(1-D6))*((Annahmen!$B$23+D7*(Annahmen!$B$32-Annahmen!$B$23))+(Annahmen!$B$27+D7*(Annahmen!$B$36-Annahmen!$B$27))+(Annahmen!$B$29+D7*(Annahmen!$B$38-Annahmen!$B$29)))+Annahmen!$B$15*D6*((Annahmen!$B$24+D7*(Annahmen!$B$33-Annahmen!$B$24))+(Annahmen!$B$28+D7*(Annahmen!$B$37-Annahmen!$B$28))+(Annahmen!$B$29+D7*(Annahmen!$B$38-Annahmen!$B$29)))</f>
        <v/>
      </c>
      <c r="E8" s="22">
        <f>Annahmen!$B$12/(1-Annahmen!$B$15*(1-E6))*((Annahmen!$B$21+E7*(Annahmen!$B$30-Annahmen!$B$21))+(Annahmen!$B$25+E7*(Annahmen!$B$34-Annahmen!$B$25))+(Annahmen!$B$29+E7*(Annahmen!$B$38-Annahmen!$B$29)))+Annahmen!$B$13/(1-Annahmen!$B$15*(1-E6))*((Annahmen!$B$22+E7*(Annahmen!$B$31-Annahmen!$B$22))+(Annahmen!$B$26+E7*(Annahmen!$B$35-Annahmen!$B$26))+(Annahmen!$B$29+E7*(Annahmen!$B$38-Annahmen!$B$29)))+Annahmen!$B$14/(1-Annahmen!$B$15*(1-E6))*((Annahmen!$B$23+E7*(Annahmen!$B$32-Annahmen!$B$23))+(Annahmen!$B$27+E7*(Annahmen!$B$36-Annahmen!$B$27))+(Annahmen!$B$29+E7*(Annahmen!$B$38-Annahmen!$B$29)))+Annahmen!$B$15*E6*((Annahmen!$B$24+E7*(Annahmen!$B$33-Annahmen!$B$24))+(Annahmen!$B$28+E7*(Annahmen!$B$37-Annahmen!$B$28))+(Annahmen!$B$29+E7*(Annahmen!$B$38-Annahmen!$B$29)))</f>
        <v/>
      </c>
      <c r="F8" s="22">
        <f>Annahmen!$B$12/(1-Annahmen!$B$15*(1-F6))*((Annahmen!$B$21+F7*(Annahmen!$B$30-Annahmen!$B$21))+(Annahmen!$B$25+F7*(Annahmen!$B$34-Annahmen!$B$25))+(Annahmen!$B$29+F7*(Annahmen!$B$38-Annahmen!$B$29)))+Annahmen!$B$13/(1-Annahmen!$B$15*(1-F6))*((Annahmen!$B$22+F7*(Annahmen!$B$31-Annahmen!$B$22))+(Annahmen!$B$26+F7*(Annahmen!$B$35-Annahmen!$B$26))+(Annahmen!$B$29+F7*(Annahmen!$B$38-Annahmen!$B$29)))+Annahmen!$B$14/(1-Annahmen!$B$15*(1-F6))*((Annahmen!$B$23+F7*(Annahmen!$B$32-Annahmen!$B$23))+(Annahmen!$B$27+F7*(Annahmen!$B$36-Annahmen!$B$27))+(Annahmen!$B$29+F7*(Annahmen!$B$38-Annahmen!$B$29)))+Annahmen!$B$15*F6*((Annahmen!$B$24+F7*(Annahmen!$B$33-Annahmen!$B$24))+(Annahmen!$B$28+F7*(Annahmen!$B$37-Annahmen!$B$28))+(Annahmen!$B$29+F7*(Annahmen!$B$38-Annahmen!$B$29)))</f>
        <v/>
      </c>
      <c r="G8" s="22">
        <f>Annahmen!$B$12/(1-Annahmen!$B$15*(1-G6))*((Annahmen!$B$21+G7*(Annahmen!$B$30-Annahmen!$B$21))+(Annahmen!$B$25+G7*(Annahmen!$B$34-Annahmen!$B$25))+(Annahmen!$B$29+G7*(Annahmen!$B$38-Annahmen!$B$29)))+Annahmen!$B$13/(1-Annahmen!$B$15*(1-G6))*((Annahmen!$B$22+G7*(Annahmen!$B$31-Annahmen!$B$22))+(Annahmen!$B$26+G7*(Annahmen!$B$35-Annahmen!$B$26))+(Annahmen!$B$29+G7*(Annahmen!$B$38-Annahmen!$B$29)))+Annahmen!$B$14/(1-Annahmen!$B$15*(1-G6))*((Annahmen!$B$23+G7*(Annahmen!$B$32-Annahmen!$B$23))+(Annahmen!$B$27+G7*(Annahmen!$B$36-Annahmen!$B$27))+(Annahmen!$B$29+G7*(Annahmen!$B$38-Annahmen!$B$29)))+Annahmen!$B$15*G6*((Annahmen!$B$24+G7*(Annahmen!$B$33-Annahmen!$B$24))+(Annahmen!$B$28+G7*(Annahmen!$B$37-Annahmen!$B$28))+(Annahmen!$B$29+G7*(Annahmen!$B$38-Annahmen!$B$29)))</f>
        <v/>
      </c>
      <c r="H8" s="22">
        <f>Annahmen!$B$12/(1-Annahmen!$B$15*(1-H6))*((Annahmen!$B$21+H7*(Annahmen!$B$30-Annahmen!$B$21))+(Annahmen!$B$25+H7*(Annahmen!$B$34-Annahmen!$B$25))+(Annahmen!$B$29+H7*(Annahmen!$B$38-Annahmen!$B$29)))+Annahmen!$B$13/(1-Annahmen!$B$15*(1-H6))*((Annahmen!$B$22+H7*(Annahmen!$B$31-Annahmen!$B$22))+(Annahmen!$B$26+H7*(Annahmen!$B$35-Annahmen!$B$26))+(Annahmen!$B$29+H7*(Annahmen!$B$38-Annahmen!$B$29)))+Annahmen!$B$14/(1-Annahmen!$B$15*(1-H6))*((Annahmen!$B$23+H7*(Annahmen!$B$32-Annahmen!$B$23))+(Annahmen!$B$27+H7*(Annahmen!$B$36-Annahmen!$B$27))+(Annahmen!$B$29+H7*(Annahmen!$B$38-Annahmen!$B$29)))+Annahmen!$B$15*H6*((Annahmen!$B$24+H7*(Annahmen!$B$33-Annahmen!$B$24))+(Annahmen!$B$28+H7*(Annahmen!$B$37-Annahmen!$B$28))+(Annahmen!$B$29+H7*(Annahmen!$B$38-Annahmen!$B$29)))</f>
        <v/>
      </c>
      <c r="I8" s="22">
        <f>Annahmen!$B$12/(1-Annahmen!$B$15*(1-I6))*((Annahmen!$B$21+I7*(Annahmen!$B$30-Annahmen!$B$21))+(Annahmen!$B$25+I7*(Annahmen!$B$34-Annahmen!$B$25))+(Annahmen!$B$29+I7*(Annahmen!$B$38-Annahmen!$B$29)))+Annahmen!$B$13/(1-Annahmen!$B$15*(1-I6))*((Annahmen!$B$22+I7*(Annahmen!$B$31-Annahmen!$B$22))+(Annahmen!$B$26+I7*(Annahmen!$B$35-Annahmen!$B$26))+(Annahmen!$B$29+I7*(Annahmen!$B$38-Annahmen!$B$29)))+Annahmen!$B$14/(1-Annahmen!$B$15*(1-I6))*((Annahmen!$B$23+I7*(Annahmen!$B$32-Annahmen!$B$23))+(Annahmen!$B$27+I7*(Annahmen!$B$36-Annahmen!$B$27))+(Annahmen!$B$29+I7*(Annahmen!$B$38-Annahmen!$B$29)))+Annahmen!$B$15*I6*((Annahmen!$B$24+I7*(Annahmen!$B$33-Annahmen!$B$24))+(Annahmen!$B$28+I7*(Annahmen!$B$37-Annahmen!$B$28))+(Annahmen!$B$29+I7*(Annahmen!$B$38-Annahmen!$B$29)))</f>
        <v/>
      </c>
      <c r="J8" s="22">
        <f>Annahmen!$B$12/(1-Annahmen!$B$15*(1-J6))*((Annahmen!$B$21+J7*(Annahmen!$B$30-Annahmen!$B$21))+(Annahmen!$B$25+J7*(Annahmen!$B$34-Annahmen!$B$25))+(Annahmen!$B$29+J7*(Annahmen!$B$38-Annahmen!$B$29)))+Annahmen!$B$13/(1-Annahmen!$B$15*(1-J6))*((Annahmen!$B$22+J7*(Annahmen!$B$31-Annahmen!$B$22))+(Annahmen!$B$26+J7*(Annahmen!$B$35-Annahmen!$B$26))+(Annahmen!$B$29+J7*(Annahmen!$B$38-Annahmen!$B$29)))+Annahmen!$B$14/(1-Annahmen!$B$15*(1-J6))*((Annahmen!$B$23+J7*(Annahmen!$B$32-Annahmen!$B$23))+(Annahmen!$B$27+J7*(Annahmen!$B$36-Annahmen!$B$27))+(Annahmen!$B$29+J7*(Annahmen!$B$38-Annahmen!$B$29)))+Annahmen!$B$15*J6*((Annahmen!$B$24+J7*(Annahmen!$B$33-Annahmen!$B$24))+(Annahmen!$B$28+J7*(Annahmen!$B$37-Annahmen!$B$28))+(Annahmen!$B$29+J7*(Annahmen!$B$38-Annahmen!$B$29)))</f>
        <v/>
      </c>
      <c r="K8" s="22">
        <f>Annahmen!$B$12/(1-Annahmen!$B$15*(1-K6))*((Annahmen!$B$21+K7*(Annahmen!$B$30-Annahmen!$B$21))+(Annahmen!$B$25+K7*(Annahmen!$B$34-Annahmen!$B$25))+(Annahmen!$B$29+K7*(Annahmen!$B$38-Annahmen!$B$29)))+Annahmen!$B$13/(1-Annahmen!$B$15*(1-K6))*((Annahmen!$B$22+K7*(Annahmen!$B$31-Annahmen!$B$22))+(Annahmen!$B$26+K7*(Annahmen!$B$35-Annahmen!$B$26))+(Annahmen!$B$29+K7*(Annahmen!$B$38-Annahmen!$B$29)))+Annahmen!$B$14/(1-Annahmen!$B$15*(1-K6))*((Annahmen!$B$23+K7*(Annahmen!$B$32-Annahmen!$B$23))+(Annahmen!$B$27+K7*(Annahmen!$B$36-Annahmen!$B$27))+(Annahmen!$B$29+K7*(Annahmen!$B$38-Annahmen!$B$29)))+Annahmen!$B$15*K6*((Annahmen!$B$24+K7*(Annahmen!$B$33-Annahmen!$B$24))+(Annahmen!$B$28+K7*(Annahmen!$B$37-Annahmen!$B$28))+(Annahmen!$B$29+K7*(Annahmen!$B$38-Annahmen!$B$29)))</f>
        <v/>
      </c>
      <c r="L8" s="22">
        <f>Annahmen!$B$12/(1-Annahmen!$B$15*(1-L6))*((Annahmen!$B$21+L7*(Annahmen!$B$30-Annahmen!$B$21))+(Annahmen!$B$25+L7*(Annahmen!$B$34-Annahmen!$B$25))+(Annahmen!$B$29+L7*(Annahmen!$B$38-Annahmen!$B$29)))+Annahmen!$B$13/(1-Annahmen!$B$15*(1-L6))*((Annahmen!$B$22+L7*(Annahmen!$B$31-Annahmen!$B$22))+(Annahmen!$B$26+L7*(Annahmen!$B$35-Annahmen!$B$26))+(Annahmen!$B$29+L7*(Annahmen!$B$38-Annahmen!$B$29)))+Annahmen!$B$14/(1-Annahmen!$B$15*(1-L6))*((Annahmen!$B$23+L7*(Annahmen!$B$32-Annahmen!$B$23))+(Annahmen!$B$27+L7*(Annahmen!$B$36-Annahmen!$B$27))+(Annahmen!$B$29+L7*(Annahmen!$B$38-Annahmen!$B$29)))+Annahmen!$B$15*L6*((Annahmen!$B$24+L7*(Annahmen!$B$33-Annahmen!$B$24))+(Annahmen!$B$28+L7*(Annahmen!$B$37-Annahmen!$B$28))+(Annahmen!$B$29+L7*(Annahmen!$B$38-Annahmen!$B$29)))</f>
        <v/>
      </c>
      <c r="M8" s="22">
        <f>Annahmen!$B$12/(1-Annahmen!$B$15*(1-M6))*((Annahmen!$B$21+M7*(Annahmen!$B$30-Annahmen!$B$21))+(Annahmen!$B$25+M7*(Annahmen!$B$34-Annahmen!$B$25))+(Annahmen!$B$29+M7*(Annahmen!$B$38-Annahmen!$B$29)))+Annahmen!$B$13/(1-Annahmen!$B$15*(1-M6))*((Annahmen!$B$22+M7*(Annahmen!$B$31-Annahmen!$B$22))+(Annahmen!$B$26+M7*(Annahmen!$B$35-Annahmen!$B$26))+(Annahmen!$B$29+M7*(Annahmen!$B$38-Annahmen!$B$29)))+Annahmen!$B$14/(1-Annahmen!$B$15*(1-M6))*((Annahmen!$B$23+M7*(Annahmen!$B$32-Annahmen!$B$23))+(Annahmen!$B$27+M7*(Annahmen!$B$36-Annahmen!$B$27))+(Annahmen!$B$29+M7*(Annahmen!$B$38-Annahmen!$B$29)))+Annahmen!$B$15*M6*((Annahmen!$B$24+M7*(Annahmen!$B$33-Annahmen!$B$24))+(Annahmen!$B$28+M7*(Annahmen!$B$37-Annahmen!$B$28))+(Annahmen!$B$29+M7*(Annahmen!$B$38-Annahmen!$B$29)))</f>
        <v/>
      </c>
      <c r="N8" s="22">
        <f>Annahmen!$B$12/(1-Annahmen!$B$15*(1-N6))*((Annahmen!$B$21+N7*(Annahmen!$B$30-Annahmen!$B$21))+(Annahmen!$B$25+N7*(Annahmen!$B$34-Annahmen!$B$25))+(Annahmen!$B$29+N7*(Annahmen!$B$38-Annahmen!$B$29)))+Annahmen!$B$13/(1-Annahmen!$B$15*(1-N6))*((Annahmen!$B$22+N7*(Annahmen!$B$31-Annahmen!$B$22))+(Annahmen!$B$26+N7*(Annahmen!$B$35-Annahmen!$B$26))+(Annahmen!$B$29+N7*(Annahmen!$B$38-Annahmen!$B$29)))+Annahmen!$B$14/(1-Annahmen!$B$15*(1-N6))*((Annahmen!$B$23+N7*(Annahmen!$B$32-Annahmen!$B$23))+(Annahmen!$B$27+N7*(Annahmen!$B$36-Annahmen!$B$27))+(Annahmen!$B$29+N7*(Annahmen!$B$38-Annahmen!$B$29)))+Annahmen!$B$15*N6*((Annahmen!$B$24+N7*(Annahmen!$B$33-Annahmen!$B$24))+(Annahmen!$B$28+N7*(Annahmen!$B$37-Annahmen!$B$28))+(Annahmen!$B$29+N7*(Annahmen!$B$38-Annahmen!$B$29)))</f>
        <v/>
      </c>
      <c r="O8" s="22">
        <f>Annahmen!$B$12/(1-Annahmen!$B$15*(1-O6))*((Annahmen!$B$21+O7*(Annahmen!$B$30-Annahmen!$B$21))+(Annahmen!$B$25+O7*(Annahmen!$B$34-Annahmen!$B$25))+(Annahmen!$B$29+O7*(Annahmen!$B$38-Annahmen!$B$29)))+Annahmen!$B$13/(1-Annahmen!$B$15*(1-O6))*((Annahmen!$B$22+O7*(Annahmen!$B$31-Annahmen!$B$22))+(Annahmen!$B$26+O7*(Annahmen!$B$35-Annahmen!$B$26))+(Annahmen!$B$29+O7*(Annahmen!$B$38-Annahmen!$B$29)))+Annahmen!$B$14/(1-Annahmen!$B$15*(1-O6))*((Annahmen!$B$23+O7*(Annahmen!$B$32-Annahmen!$B$23))+(Annahmen!$B$27+O7*(Annahmen!$B$36-Annahmen!$B$27))+(Annahmen!$B$29+O7*(Annahmen!$B$38-Annahmen!$B$29)))+Annahmen!$B$15*O6*((Annahmen!$B$24+O7*(Annahmen!$B$33-Annahmen!$B$24))+(Annahmen!$B$28+O7*(Annahmen!$B$37-Annahmen!$B$28))+(Annahmen!$B$29+O7*(Annahmen!$B$38-Annahmen!$B$29)))</f>
        <v/>
      </c>
      <c r="P8" s="22">
        <f>Annahmen!$B$12/(1-Annahmen!$B$15*(1-P6))*((Annahmen!$B$21+P7*(Annahmen!$B$30-Annahmen!$B$21))+(Annahmen!$B$25+P7*(Annahmen!$B$34-Annahmen!$B$25))+(Annahmen!$B$29+P7*(Annahmen!$B$38-Annahmen!$B$29)))+Annahmen!$B$13/(1-Annahmen!$B$15*(1-P6))*((Annahmen!$B$22+P7*(Annahmen!$B$31-Annahmen!$B$22))+(Annahmen!$B$26+P7*(Annahmen!$B$35-Annahmen!$B$26))+(Annahmen!$B$29+P7*(Annahmen!$B$38-Annahmen!$B$29)))+Annahmen!$B$14/(1-Annahmen!$B$15*(1-P6))*((Annahmen!$B$23+P7*(Annahmen!$B$32-Annahmen!$B$23))+(Annahmen!$B$27+P7*(Annahmen!$B$36-Annahmen!$B$27))+(Annahmen!$B$29+P7*(Annahmen!$B$38-Annahmen!$B$29)))+Annahmen!$B$15*P6*((Annahmen!$B$24+P7*(Annahmen!$B$33-Annahmen!$B$24))+(Annahmen!$B$28+P7*(Annahmen!$B$37-Annahmen!$B$28))+(Annahmen!$B$29+P7*(Annahmen!$B$38-Annahmen!$B$29)))</f>
        <v/>
      </c>
      <c r="Q8" s="22">
        <f>Annahmen!$B$12/(1-Annahmen!$B$15*(1-Q6))*((Annahmen!$B$21+Q7*(Annahmen!$B$30-Annahmen!$B$21))+(Annahmen!$B$25+Q7*(Annahmen!$B$34-Annahmen!$B$25))+(Annahmen!$B$29+Q7*(Annahmen!$B$38-Annahmen!$B$29)))+Annahmen!$B$13/(1-Annahmen!$B$15*(1-Q6))*((Annahmen!$B$22+Q7*(Annahmen!$B$31-Annahmen!$B$22))+(Annahmen!$B$26+Q7*(Annahmen!$B$35-Annahmen!$B$26))+(Annahmen!$B$29+Q7*(Annahmen!$B$38-Annahmen!$B$29)))+Annahmen!$B$14/(1-Annahmen!$B$15*(1-Q6))*((Annahmen!$B$23+Q7*(Annahmen!$B$32-Annahmen!$B$23))+(Annahmen!$B$27+Q7*(Annahmen!$B$36-Annahmen!$B$27))+(Annahmen!$B$29+Q7*(Annahmen!$B$38-Annahmen!$B$29)))+Annahmen!$B$15*Q6*((Annahmen!$B$24+Q7*(Annahmen!$B$33-Annahmen!$B$24))+(Annahmen!$B$28+Q7*(Annahmen!$B$37-Annahmen!$B$28))+(Annahmen!$B$29+Q7*(Annahmen!$B$38-Annahmen!$B$29)))</f>
        <v/>
      </c>
      <c r="R8" s="22">
        <f>Annahmen!$B$12/(1-Annahmen!$B$15*(1-R6))*((Annahmen!$B$21+R7*(Annahmen!$B$30-Annahmen!$B$21))+(Annahmen!$B$25+R7*(Annahmen!$B$34-Annahmen!$B$25))+(Annahmen!$B$29+R7*(Annahmen!$B$38-Annahmen!$B$29)))+Annahmen!$B$13/(1-Annahmen!$B$15*(1-R6))*((Annahmen!$B$22+R7*(Annahmen!$B$31-Annahmen!$B$22))+(Annahmen!$B$26+R7*(Annahmen!$B$35-Annahmen!$B$26))+(Annahmen!$B$29+R7*(Annahmen!$B$38-Annahmen!$B$29)))+Annahmen!$B$14/(1-Annahmen!$B$15*(1-R6))*((Annahmen!$B$23+R7*(Annahmen!$B$32-Annahmen!$B$23))+(Annahmen!$B$27+R7*(Annahmen!$B$36-Annahmen!$B$27))+(Annahmen!$B$29+R7*(Annahmen!$B$38-Annahmen!$B$29)))+Annahmen!$B$15*R6*((Annahmen!$B$24+R7*(Annahmen!$B$33-Annahmen!$B$24))+(Annahmen!$B$28+R7*(Annahmen!$B$37-Annahmen!$B$28))+(Annahmen!$B$29+R7*(Annahmen!$B$38-Annahmen!$B$29)))</f>
        <v/>
      </c>
      <c r="S8" s="22">
        <f>Annahmen!$B$12/(1-Annahmen!$B$15*(1-S6))*((Annahmen!$B$21+S7*(Annahmen!$B$30-Annahmen!$B$21))+(Annahmen!$B$25+S7*(Annahmen!$B$34-Annahmen!$B$25))+(Annahmen!$B$29+S7*(Annahmen!$B$38-Annahmen!$B$29)))+Annahmen!$B$13/(1-Annahmen!$B$15*(1-S6))*((Annahmen!$B$22+S7*(Annahmen!$B$31-Annahmen!$B$22))+(Annahmen!$B$26+S7*(Annahmen!$B$35-Annahmen!$B$26))+(Annahmen!$B$29+S7*(Annahmen!$B$38-Annahmen!$B$29)))+Annahmen!$B$14/(1-Annahmen!$B$15*(1-S6))*((Annahmen!$B$23+S7*(Annahmen!$B$32-Annahmen!$B$23))+(Annahmen!$B$27+S7*(Annahmen!$B$36-Annahmen!$B$27))+(Annahmen!$B$29+S7*(Annahmen!$B$38-Annahmen!$B$29)))+Annahmen!$B$15*S6*((Annahmen!$B$24+S7*(Annahmen!$B$33-Annahmen!$B$24))+(Annahmen!$B$28+S7*(Annahmen!$B$37-Annahmen!$B$28))+(Annahmen!$B$29+S7*(Annahmen!$B$38-Annahmen!$B$29)))</f>
        <v/>
      </c>
      <c r="T8" s="22">
        <f>Annahmen!$B$12/(1-Annahmen!$B$15*(1-T6))*((Annahmen!$B$21+T7*(Annahmen!$B$30-Annahmen!$B$21))+(Annahmen!$B$25+T7*(Annahmen!$B$34-Annahmen!$B$25))+(Annahmen!$B$29+T7*(Annahmen!$B$38-Annahmen!$B$29)))+Annahmen!$B$13/(1-Annahmen!$B$15*(1-T6))*((Annahmen!$B$22+T7*(Annahmen!$B$31-Annahmen!$B$22))+(Annahmen!$B$26+T7*(Annahmen!$B$35-Annahmen!$B$26))+(Annahmen!$B$29+T7*(Annahmen!$B$38-Annahmen!$B$29)))+Annahmen!$B$14/(1-Annahmen!$B$15*(1-T6))*((Annahmen!$B$23+T7*(Annahmen!$B$32-Annahmen!$B$23))+(Annahmen!$B$27+T7*(Annahmen!$B$36-Annahmen!$B$27))+(Annahmen!$B$29+T7*(Annahmen!$B$38-Annahmen!$B$29)))+Annahmen!$B$15*T6*((Annahmen!$B$24+T7*(Annahmen!$B$33-Annahmen!$B$24))+(Annahmen!$B$28+T7*(Annahmen!$B$37-Annahmen!$B$28))+(Annahmen!$B$29+T7*(Annahmen!$B$38-Annahmen!$B$29)))</f>
        <v/>
      </c>
      <c r="U8" s="22">
        <f>Annahmen!$B$12/(1-Annahmen!$B$15*(1-U6))*((Annahmen!$B$21+U7*(Annahmen!$B$30-Annahmen!$B$21))+(Annahmen!$B$25+U7*(Annahmen!$B$34-Annahmen!$B$25))+(Annahmen!$B$29+U7*(Annahmen!$B$38-Annahmen!$B$29)))+Annahmen!$B$13/(1-Annahmen!$B$15*(1-U6))*((Annahmen!$B$22+U7*(Annahmen!$B$31-Annahmen!$B$22))+(Annahmen!$B$26+U7*(Annahmen!$B$35-Annahmen!$B$26))+(Annahmen!$B$29+U7*(Annahmen!$B$38-Annahmen!$B$29)))+Annahmen!$B$14/(1-Annahmen!$B$15*(1-U6))*((Annahmen!$B$23+U7*(Annahmen!$B$32-Annahmen!$B$23))+(Annahmen!$B$27+U7*(Annahmen!$B$36-Annahmen!$B$27))+(Annahmen!$B$29+U7*(Annahmen!$B$38-Annahmen!$B$29)))+Annahmen!$B$15*U6*((Annahmen!$B$24+U7*(Annahmen!$B$33-Annahmen!$B$24))+(Annahmen!$B$28+U7*(Annahmen!$B$37-Annahmen!$B$28))+(Annahmen!$B$29+U7*(Annahmen!$B$38-Annahmen!$B$29)))</f>
        <v/>
      </c>
      <c r="V8" s="22">
        <f>Annahmen!$B$12/(1-Annahmen!$B$15*(1-V6))*((Annahmen!$B$21+V7*(Annahmen!$B$30-Annahmen!$B$21))+(Annahmen!$B$25+V7*(Annahmen!$B$34-Annahmen!$B$25))+(Annahmen!$B$29+V7*(Annahmen!$B$38-Annahmen!$B$29)))+Annahmen!$B$13/(1-Annahmen!$B$15*(1-V6))*((Annahmen!$B$22+V7*(Annahmen!$B$31-Annahmen!$B$22))+(Annahmen!$B$26+V7*(Annahmen!$B$35-Annahmen!$B$26))+(Annahmen!$B$29+V7*(Annahmen!$B$38-Annahmen!$B$29)))+Annahmen!$B$14/(1-Annahmen!$B$15*(1-V6))*((Annahmen!$B$23+V7*(Annahmen!$B$32-Annahmen!$B$23))+(Annahmen!$B$27+V7*(Annahmen!$B$36-Annahmen!$B$27))+(Annahmen!$B$29+V7*(Annahmen!$B$38-Annahmen!$B$29)))+Annahmen!$B$15*V6*((Annahmen!$B$24+V7*(Annahmen!$B$33-Annahmen!$B$24))+(Annahmen!$B$28+V7*(Annahmen!$B$37-Annahmen!$B$28))+(Annahmen!$B$29+V7*(Annahmen!$B$38-Annahmen!$B$29)))</f>
        <v/>
      </c>
      <c r="W8" s="22">
        <f>Annahmen!$B$12/(1-Annahmen!$B$15*(1-W6))*((Annahmen!$B$21+W7*(Annahmen!$B$30-Annahmen!$B$21))+(Annahmen!$B$25+W7*(Annahmen!$B$34-Annahmen!$B$25))+(Annahmen!$B$29+W7*(Annahmen!$B$38-Annahmen!$B$29)))+Annahmen!$B$13/(1-Annahmen!$B$15*(1-W6))*((Annahmen!$B$22+W7*(Annahmen!$B$31-Annahmen!$B$22))+(Annahmen!$B$26+W7*(Annahmen!$B$35-Annahmen!$B$26))+(Annahmen!$B$29+W7*(Annahmen!$B$38-Annahmen!$B$29)))+Annahmen!$B$14/(1-Annahmen!$B$15*(1-W6))*((Annahmen!$B$23+W7*(Annahmen!$B$32-Annahmen!$B$23))+(Annahmen!$B$27+W7*(Annahmen!$B$36-Annahmen!$B$27))+(Annahmen!$B$29+W7*(Annahmen!$B$38-Annahmen!$B$29)))+Annahmen!$B$15*W6*((Annahmen!$B$24+W7*(Annahmen!$B$33-Annahmen!$B$24))+(Annahmen!$B$28+W7*(Annahmen!$B$37-Annahmen!$B$28))+(Annahmen!$B$29+W7*(Annahmen!$B$38-Annahmen!$B$29)))</f>
        <v/>
      </c>
      <c r="X8" s="22">
        <f>Annahmen!$B$12/(1-Annahmen!$B$15*(1-X6))*((Annahmen!$B$21+X7*(Annahmen!$B$30-Annahmen!$B$21))+(Annahmen!$B$25+X7*(Annahmen!$B$34-Annahmen!$B$25))+(Annahmen!$B$29+X7*(Annahmen!$B$38-Annahmen!$B$29)))+Annahmen!$B$13/(1-Annahmen!$B$15*(1-X6))*((Annahmen!$B$22+X7*(Annahmen!$B$31-Annahmen!$B$22))+(Annahmen!$B$26+X7*(Annahmen!$B$35-Annahmen!$B$26))+(Annahmen!$B$29+X7*(Annahmen!$B$38-Annahmen!$B$29)))+Annahmen!$B$14/(1-Annahmen!$B$15*(1-X6))*((Annahmen!$B$23+X7*(Annahmen!$B$32-Annahmen!$B$23))+(Annahmen!$B$27+X7*(Annahmen!$B$36-Annahmen!$B$27))+(Annahmen!$B$29+X7*(Annahmen!$B$38-Annahmen!$B$29)))+Annahmen!$B$15*X6*((Annahmen!$B$24+X7*(Annahmen!$B$33-Annahmen!$B$24))+(Annahmen!$B$28+X7*(Annahmen!$B$37-Annahmen!$B$28))+(Annahmen!$B$29+X7*(Annahmen!$B$38-Annahmen!$B$29)))</f>
        <v/>
      </c>
      <c r="Y8" s="22">
        <f>Annahmen!$B$12/(1-Annahmen!$B$15*(1-Y6))*((Annahmen!$B$21+Y7*(Annahmen!$B$30-Annahmen!$B$21))+(Annahmen!$B$25+Y7*(Annahmen!$B$34-Annahmen!$B$25))+(Annahmen!$B$29+Y7*(Annahmen!$B$38-Annahmen!$B$29)))+Annahmen!$B$13/(1-Annahmen!$B$15*(1-Y6))*((Annahmen!$B$22+Y7*(Annahmen!$B$31-Annahmen!$B$22))+(Annahmen!$B$26+Y7*(Annahmen!$B$35-Annahmen!$B$26))+(Annahmen!$B$29+Y7*(Annahmen!$B$38-Annahmen!$B$29)))+Annahmen!$B$14/(1-Annahmen!$B$15*(1-Y6))*((Annahmen!$B$23+Y7*(Annahmen!$B$32-Annahmen!$B$23))+(Annahmen!$B$27+Y7*(Annahmen!$B$36-Annahmen!$B$27))+(Annahmen!$B$29+Y7*(Annahmen!$B$38-Annahmen!$B$29)))+Annahmen!$B$15*Y6*((Annahmen!$B$24+Y7*(Annahmen!$B$33-Annahmen!$B$24))+(Annahmen!$B$28+Y7*(Annahmen!$B$37-Annahmen!$B$28))+(Annahmen!$B$29+Y7*(Annahmen!$B$38-Annahmen!$B$29)))</f>
        <v/>
      </c>
    </row>
    <row r="9">
      <c r="A9" s="5" t="inlineStr">
        <is>
          <t>Laufende Stunden (Bestand)</t>
        </is>
      </c>
      <c r="B9" s="22">
        <f>0*(Annahmen!$B$25+B7*(Annahmen!$B$34-Annahmen!$B$25))+0*(Annahmen!$B$26+B7*(Annahmen!$B$35-Annahmen!$B$26))+0*(Annahmen!$B$27+B7*(Annahmen!$B$36-Annahmen!$B$27))+0*(Annahmen!$B$28+B7*(Annahmen!$B$37-Annahmen!$B$28))</f>
        <v/>
      </c>
      <c r="C9" s="22">
        <f>B14*(Annahmen!$B$25+C7*(Annahmen!$B$34-Annahmen!$B$25))+B15*(Annahmen!$B$26+C7*(Annahmen!$B$35-Annahmen!$B$26))+B16*(Annahmen!$B$27+C7*(Annahmen!$B$36-Annahmen!$B$27))+B17*(Annahmen!$B$28+C7*(Annahmen!$B$37-Annahmen!$B$28))</f>
        <v/>
      </c>
      <c r="D9" s="22">
        <f>C14*(Annahmen!$B$25+D7*(Annahmen!$B$34-Annahmen!$B$25))+C15*(Annahmen!$B$26+D7*(Annahmen!$B$35-Annahmen!$B$26))+C16*(Annahmen!$B$27+D7*(Annahmen!$B$36-Annahmen!$B$27))+C17*(Annahmen!$B$28+D7*(Annahmen!$B$37-Annahmen!$B$28))</f>
        <v/>
      </c>
      <c r="E9" s="22">
        <f>D14*(Annahmen!$B$25+E7*(Annahmen!$B$34-Annahmen!$B$25))+D15*(Annahmen!$B$26+E7*(Annahmen!$B$35-Annahmen!$B$26))+D16*(Annahmen!$B$27+E7*(Annahmen!$B$36-Annahmen!$B$27))+D17*(Annahmen!$B$28+E7*(Annahmen!$B$37-Annahmen!$B$28))</f>
        <v/>
      </c>
      <c r="F9" s="22">
        <f>E14*(Annahmen!$B$25+F7*(Annahmen!$B$34-Annahmen!$B$25))+E15*(Annahmen!$B$26+F7*(Annahmen!$B$35-Annahmen!$B$26))+E16*(Annahmen!$B$27+F7*(Annahmen!$B$36-Annahmen!$B$27))+E17*(Annahmen!$B$28+F7*(Annahmen!$B$37-Annahmen!$B$28))</f>
        <v/>
      </c>
      <c r="G9" s="22">
        <f>F14*(Annahmen!$B$25+G7*(Annahmen!$B$34-Annahmen!$B$25))+F15*(Annahmen!$B$26+G7*(Annahmen!$B$35-Annahmen!$B$26))+F16*(Annahmen!$B$27+G7*(Annahmen!$B$36-Annahmen!$B$27))+F17*(Annahmen!$B$28+G7*(Annahmen!$B$37-Annahmen!$B$28))</f>
        <v/>
      </c>
      <c r="H9" s="22">
        <f>G14*(Annahmen!$B$25+H7*(Annahmen!$B$34-Annahmen!$B$25))+G15*(Annahmen!$B$26+H7*(Annahmen!$B$35-Annahmen!$B$26))+G16*(Annahmen!$B$27+H7*(Annahmen!$B$36-Annahmen!$B$27))+G17*(Annahmen!$B$28+H7*(Annahmen!$B$37-Annahmen!$B$28))</f>
        <v/>
      </c>
      <c r="I9" s="22">
        <f>H14*(Annahmen!$B$25+I7*(Annahmen!$B$34-Annahmen!$B$25))+H15*(Annahmen!$B$26+I7*(Annahmen!$B$35-Annahmen!$B$26))+H16*(Annahmen!$B$27+I7*(Annahmen!$B$36-Annahmen!$B$27))+H17*(Annahmen!$B$28+I7*(Annahmen!$B$37-Annahmen!$B$28))</f>
        <v/>
      </c>
      <c r="J9" s="22">
        <f>I14*(Annahmen!$B$25+J7*(Annahmen!$B$34-Annahmen!$B$25))+I15*(Annahmen!$B$26+J7*(Annahmen!$B$35-Annahmen!$B$26))+I16*(Annahmen!$B$27+J7*(Annahmen!$B$36-Annahmen!$B$27))+I17*(Annahmen!$B$28+J7*(Annahmen!$B$37-Annahmen!$B$28))</f>
        <v/>
      </c>
      <c r="K9" s="22">
        <f>J14*(Annahmen!$B$25+K7*(Annahmen!$B$34-Annahmen!$B$25))+J15*(Annahmen!$B$26+K7*(Annahmen!$B$35-Annahmen!$B$26))+J16*(Annahmen!$B$27+K7*(Annahmen!$B$36-Annahmen!$B$27))+J17*(Annahmen!$B$28+K7*(Annahmen!$B$37-Annahmen!$B$28))</f>
        <v/>
      </c>
      <c r="L9" s="22">
        <f>K14*(Annahmen!$B$25+L7*(Annahmen!$B$34-Annahmen!$B$25))+K15*(Annahmen!$B$26+L7*(Annahmen!$B$35-Annahmen!$B$26))+K16*(Annahmen!$B$27+L7*(Annahmen!$B$36-Annahmen!$B$27))+K17*(Annahmen!$B$28+L7*(Annahmen!$B$37-Annahmen!$B$28))</f>
        <v/>
      </c>
      <c r="M9" s="22">
        <f>L14*(Annahmen!$B$25+M7*(Annahmen!$B$34-Annahmen!$B$25))+L15*(Annahmen!$B$26+M7*(Annahmen!$B$35-Annahmen!$B$26))+L16*(Annahmen!$B$27+M7*(Annahmen!$B$36-Annahmen!$B$27))+L17*(Annahmen!$B$28+M7*(Annahmen!$B$37-Annahmen!$B$28))</f>
        <v/>
      </c>
      <c r="N9" s="22">
        <f>M14*(Annahmen!$B$25+N7*(Annahmen!$B$34-Annahmen!$B$25))+M15*(Annahmen!$B$26+N7*(Annahmen!$B$35-Annahmen!$B$26))+M16*(Annahmen!$B$27+N7*(Annahmen!$B$36-Annahmen!$B$27))+M17*(Annahmen!$B$28+N7*(Annahmen!$B$37-Annahmen!$B$28))</f>
        <v/>
      </c>
      <c r="O9" s="22">
        <f>N14*(Annahmen!$B$25+O7*(Annahmen!$B$34-Annahmen!$B$25))+N15*(Annahmen!$B$26+O7*(Annahmen!$B$35-Annahmen!$B$26))+N16*(Annahmen!$B$27+O7*(Annahmen!$B$36-Annahmen!$B$27))+N17*(Annahmen!$B$28+O7*(Annahmen!$B$37-Annahmen!$B$28))</f>
        <v/>
      </c>
      <c r="P9" s="22">
        <f>O14*(Annahmen!$B$25+P7*(Annahmen!$B$34-Annahmen!$B$25))+O15*(Annahmen!$B$26+P7*(Annahmen!$B$35-Annahmen!$B$26))+O16*(Annahmen!$B$27+P7*(Annahmen!$B$36-Annahmen!$B$27))+O17*(Annahmen!$B$28+P7*(Annahmen!$B$37-Annahmen!$B$28))</f>
        <v/>
      </c>
      <c r="Q9" s="22">
        <f>P14*(Annahmen!$B$25+Q7*(Annahmen!$B$34-Annahmen!$B$25))+P15*(Annahmen!$B$26+Q7*(Annahmen!$B$35-Annahmen!$B$26))+P16*(Annahmen!$B$27+Q7*(Annahmen!$B$36-Annahmen!$B$27))+P17*(Annahmen!$B$28+Q7*(Annahmen!$B$37-Annahmen!$B$28))</f>
        <v/>
      </c>
      <c r="R9" s="22">
        <f>Q14*(Annahmen!$B$25+R7*(Annahmen!$B$34-Annahmen!$B$25))+Q15*(Annahmen!$B$26+R7*(Annahmen!$B$35-Annahmen!$B$26))+Q16*(Annahmen!$B$27+R7*(Annahmen!$B$36-Annahmen!$B$27))+Q17*(Annahmen!$B$28+R7*(Annahmen!$B$37-Annahmen!$B$28))</f>
        <v/>
      </c>
      <c r="S9" s="22">
        <f>R14*(Annahmen!$B$25+S7*(Annahmen!$B$34-Annahmen!$B$25))+R15*(Annahmen!$B$26+S7*(Annahmen!$B$35-Annahmen!$B$26))+R16*(Annahmen!$B$27+S7*(Annahmen!$B$36-Annahmen!$B$27))+R17*(Annahmen!$B$28+S7*(Annahmen!$B$37-Annahmen!$B$28))</f>
        <v/>
      </c>
      <c r="T9" s="22">
        <f>S14*(Annahmen!$B$25+T7*(Annahmen!$B$34-Annahmen!$B$25))+S15*(Annahmen!$B$26+T7*(Annahmen!$B$35-Annahmen!$B$26))+S16*(Annahmen!$B$27+T7*(Annahmen!$B$36-Annahmen!$B$27))+S17*(Annahmen!$B$28+T7*(Annahmen!$B$37-Annahmen!$B$28))</f>
        <v/>
      </c>
      <c r="U9" s="22">
        <f>T14*(Annahmen!$B$25+U7*(Annahmen!$B$34-Annahmen!$B$25))+T15*(Annahmen!$B$26+U7*(Annahmen!$B$35-Annahmen!$B$26))+T16*(Annahmen!$B$27+U7*(Annahmen!$B$36-Annahmen!$B$27))+T17*(Annahmen!$B$28+U7*(Annahmen!$B$37-Annahmen!$B$28))</f>
        <v/>
      </c>
      <c r="V9" s="22">
        <f>U14*(Annahmen!$B$25+V7*(Annahmen!$B$34-Annahmen!$B$25))+U15*(Annahmen!$B$26+V7*(Annahmen!$B$35-Annahmen!$B$26))+U16*(Annahmen!$B$27+V7*(Annahmen!$B$36-Annahmen!$B$27))+U17*(Annahmen!$B$28+V7*(Annahmen!$B$37-Annahmen!$B$28))</f>
        <v/>
      </c>
      <c r="W9" s="22">
        <f>V14*(Annahmen!$B$25+W7*(Annahmen!$B$34-Annahmen!$B$25))+V15*(Annahmen!$B$26+W7*(Annahmen!$B$35-Annahmen!$B$26))+V16*(Annahmen!$B$27+W7*(Annahmen!$B$36-Annahmen!$B$27))+V17*(Annahmen!$B$28+W7*(Annahmen!$B$37-Annahmen!$B$28))</f>
        <v/>
      </c>
      <c r="X9" s="22">
        <f>W14*(Annahmen!$B$25+X7*(Annahmen!$B$34-Annahmen!$B$25))+W15*(Annahmen!$B$26+X7*(Annahmen!$B$35-Annahmen!$B$26))+W16*(Annahmen!$B$27+X7*(Annahmen!$B$36-Annahmen!$B$27))+W17*(Annahmen!$B$28+X7*(Annahmen!$B$37-Annahmen!$B$28))</f>
        <v/>
      </c>
      <c r="Y9" s="22">
        <f>X14*(Annahmen!$B$25+Y7*(Annahmen!$B$34-Annahmen!$B$25))+X15*(Annahmen!$B$26+Y7*(Annahmen!$B$35-Annahmen!$B$26))+X16*(Annahmen!$B$27+Y7*(Annahmen!$B$36-Annahmen!$B$27))+X17*(Annahmen!$B$28+Y7*(Annahmen!$B$37-Annahmen!$B$28))</f>
        <v/>
      </c>
    </row>
    <row r="10">
      <c r="A10" s="5" t="inlineStr">
        <is>
          <t>Möglich nach Stunden</t>
        </is>
      </c>
      <c r="B10" s="22">
        <f>MAX(0,(Annahmen!$B$41-B9)/B8)</f>
        <v/>
      </c>
      <c r="C10" s="22">
        <f>MAX(0,(Annahmen!$B$41-C9)/C8)</f>
        <v/>
      </c>
      <c r="D10" s="22">
        <f>MAX(0,(Annahmen!$B$41-D9)/D8)</f>
        <v/>
      </c>
      <c r="E10" s="22">
        <f>MAX(0,(Annahmen!$B$41-E9)/E8)</f>
        <v/>
      </c>
      <c r="F10" s="22">
        <f>MAX(0,(Annahmen!$B$41-F9)/F8)</f>
        <v/>
      </c>
      <c r="G10" s="22">
        <f>MAX(0,(Annahmen!$B$41-G9)/G8)</f>
        <v/>
      </c>
      <c r="H10" s="22">
        <f>MAX(0,(Annahmen!$B$41-H9)/H8)</f>
        <v/>
      </c>
      <c r="I10" s="22">
        <f>MAX(0,(Annahmen!$B$41-I9)/I8)</f>
        <v/>
      </c>
      <c r="J10" s="22">
        <f>MAX(0,(Annahmen!$B$41-J9)/J8)</f>
        <v/>
      </c>
      <c r="K10" s="22">
        <f>MAX(0,(Annahmen!$B$41-K9)/K8)</f>
        <v/>
      </c>
      <c r="L10" s="22">
        <f>MAX(0,(Annahmen!$B$41-L9)/L8)</f>
        <v/>
      </c>
      <c r="M10" s="22">
        <f>MAX(0,(Annahmen!$B$41-M9)/M8)</f>
        <v/>
      </c>
      <c r="N10" s="22">
        <f>MAX(0,(Annahmen!$B$41-N9)/N8)</f>
        <v/>
      </c>
      <c r="O10" s="22">
        <f>MAX(0,(Annahmen!$B$41-O9)/O8)</f>
        <v/>
      </c>
      <c r="P10" s="22">
        <f>MAX(0,(Annahmen!$B$41-P9)/P8)</f>
        <v/>
      </c>
      <c r="Q10" s="22">
        <f>MAX(0,(Annahmen!$B$41-Q9)/Q8)</f>
        <v/>
      </c>
      <c r="R10" s="22">
        <f>MAX(0,(Annahmen!$B$41-R9)/R8)</f>
        <v/>
      </c>
      <c r="S10" s="22">
        <f>MAX(0,(Annahmen!$B$41-S9)/S8)</f>
        <v/>
      </c>
      <c r="T10" s="22">
        <f>MAX(0,(Annahmen!$B$41-T9)/T8)</f>
        <v/>
      </c>
      <c r="U10" s="22">
        <f>MAX(0,(Annahmen!$B$41-U9)/U8)</f>
        <v/>
      </c>
      <c r="V10" s="22">
        <f>MAX(0,(Annahmen!$B$41-V9)/V8)</f>
        <v/>
      </c>
      <c r="W10" s="22">
        <f>MAX(0,(Annahmen!$B$41-W9)/W8)</f>
        <v/>
      </c>
      <c r="X10" s="22">
        <f>MAX(0,(Annahmen!$B$41-X9)/X8)</f>
        <v/>
      </c>
      <c r="Y10" s="22">
        <f>MAX(0,(Annahmen!$B$41-Y9)/Y8)</f>
        <v/>
      </c>
    </row>
    <row r="11">
      <c r="A11" s="7" t="inlineStr">
        <is>
          <t>Abschlüsse</t>
        </is>
      </c>
      <c r="B11" s="21">
        <f>MIN(B5,B10)</f>
        <v/>
      </c>
      <c r="C11" s="21">
        <f>MIN(C5,C10)</f>
        <v/>
      </c>
      <c r="D11" s="21">
        <f>MIN(D5,D10)</f>
        <v/>
      </c>
      <c r="E11" s="21">
        <f>MIN(E5,E10)</f>
        <v/>
      </c>
      <c r="F11" s="21">
        <f>MIN(F5,F10)</f>
        <v/>
      </c>
      <c r="G11" s="21">
        <f>MIN(G5,G10)</f>
        <v/>
      </c>
      <c r="H11" s="21">
        <f>MIN(H5,H10)</f>
        <v/>
      </c>
      <c r="I11" s="21">
        <f>MIN(I5,I10)</f>
        <v/>
      </c>
      <c r="J11" s="21">
        <f>MIN(J5,J10)</f>
        <v/>
      </c>
      <c r="K11" s="21">
        <f>MIN(K5,K10)</f>
        <v/>
      </c>
      <c r="L11" s="21">
        <f>MIN(L5,L10)</f>
        <v/>
      </c>
      <c r="M11" s="21">
        <f>MIN(M5,M10)</f>
        <v/>
      </c>
      <c r="N11" s="21">
        <f>MIN(N5,N10)</f>
        <v/>
      </c>
      <c r="O11" s="21">
        <f>MIN(O5,O10)</f>
        <v/>
      </c>
      <c r="P11" s="21">
        <f>MIN(P5,P10)</f>
        <v/>
      </c>
      <c r="Q11" s="21">
        <f>MIN(Q5,Q10)</f>
        <v/>
      </c>
      <c r="R11" s="21">
        <f>MIN(R5,R10)</f>
        <v/>
      </c>
      <c r="S11" s="21">
        <f>MIN(S5,S10)</f>
        <v/>
      </c>
      <c r="T11" s="21">
        <f>MIN(T5,T10)</f>
        <v/>
      </c>
      <c r="U11" s="21">
        <f>MIN(U5,U10)</f>
        <v/>
      </c>
      <c r="V11" s="21">
        <f>MIN(V5,V10)</f>
        <v/>
      </c>
      <c r="W11" s="21">
        <f>MIN(W5,W10)</f>
        <v/>
      </c>
      <c r="X11" s="21">
        <f>MIN(X5,X10)</f>
        <v/>
      </c>
      <c r="Y11" s="21">
        <f>MIN(Y5,Y10)</f>
        <v/>
      </c>
    </row>
    <row r="12">
      <c r="A12" s="5" t="inlineStr">
        <is>
          <t>Abschlüsse kumuliert</t>
        </is>
      </c>
      <c r="B12" s="22">
        <f>0+B11</f>
        <v/>
      </c>
      <c r="C12" s="22">
        <f>B12+C11</f>
        <v/>
      </c>
      <c r="D12" s="22">
        <f>C12+D11</f>
        <v/>
      </c>
      <c r="E12" s="22">
        <f>D12+E11</f>
        <v/>
      </c>
      <c r="F12" s="22">
        <f>E12+F11</f>
        <v/>
      </c>
      <c r="G12" s="22">
        <f>F12+G11</f>
        <v/>
      </c>
      <c r="H12" s="22">
        <f>G12+H11</f>
        <v/>
      </c>
      <c r="I12" s="22">
        <f>H12+I11</f>
        <v/>
      </c>
      <c r="J12" s="22">
        <f>I12+J11</f>
        <v/>
      </c>
      <c r="K12" s="22">
        <f>J12+K11</f>
        <v/>
      </c>
      <c r="L12" s="22">
        <f>K12+L11</f>
        <v/>
      </c>
      <c r="M12" s="22">
        <f>L12+M11</f>
        <v/>
      </c>
      <c r="N12" s="22">
        <f>M12+N11</f>
        <v/>
      </c>
      <c r="O12" s="22">
        <f>N12+O11</f>
        <v/>
      </c>
      <c r="P12" s="22">
        <f>O12+P11</f>
        <v/>
      </c>
      <c r="Q12" s="22">
        <f>P12+Q11</f>
        <v/>
      </c>
      <c r="R12" s="22">
        <f>Q12+R11</f>
        <v/>
      </c>
      <c r="S12" s="22">
        <f>R12+S11</f>
        <v/>
      </c>
      <c r="T12" s="22">
        <f>S12+T11</f>
        <v/>
      </c>
      <c r="U12" s="22">
        <f>T12+U11</f>
        <v/>
      </c>
      <c r="V12" s="22">
        <f>U12+V11</f>
        <v/>
      </c>
      <c r="W12" s="22">
        <f>V12+W11</f>
        <v/>
      </c>
      <c r="X12" s="22">
        <f>W12+X11</f>
        <v/>
      </c>
      <c r="Y12" s="22">
        <f>X12+Y11</f>
        <v/>
      </c>
    </row>
    <row r="13">
      <c r="A13" s="24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</row>
    <row r="14">
      <c r="A14" s="5" t="inlineStr">
        <is>
          <t>Aktive Pflege-Kunden</t>
        </is>
      </c>
      <c r="B14" s="22">
        <f>0*(1-Annahmen!$B$17)+B11*Annahmen!$B$12/(1-Annahmen!$B$15*(1-B6))</f>
        <v/>
      </c>
      <c r="C14" s="22">
        <f>B14*(1-Annahmen!$B$17)+C11*Annahmen!$B$12/(1-Annahmen!$B$15*(1-C6))</f>
        <v/>
      </c>
      <c r="D14" s="22">
        <f>C14*(1-Annahmen!$B$17)+D11*Annahmen!$B$12/(1-Annahmen!$B$15*(1-D6))</f>
        <v/>
      </c>
      <c r="E14" s="22">
        <f>D14*(1-Annahmen!$B$17)+E11*Annahmen!$B$12/(1-Annahmen!$B$15*(1-E6))</f>
        <v/>
      </c>
      <c r="F14" s="22">
        <f>E14*(1-Annahmen!$B$17)+F11*Annahmen!$B$12/(1-Annahmen!$B$15*(1-F6))</f>
        <v/>
      </c>
      <c r="G14" s="22">
        <f>F14*(1-Annahmen!$B$17)+G11*Annahmen!$B$12/(1-Annahmen!$B$15*(1-G6))</f>
        <v/>
      </c>
      <c r="H14" s="22">
        <f>G14*(1-Annahmen!$B$17)+H11*Annahmen!$B$12/(1-Annahmen!$B$15*(1-H6))</f>
        <v/>
      </c>
      <c r="I14" s="22">
        <f>H14*(1-Annahmen!$B$17)+I11*Annahmen!$B$12/(1-Annahmen!$B$15*(1-I6))</f>
        <v/>
      </c>
      <c r="J14" s="22">
        <f>I14*(1-Annahmen!$B$17)+J11*Annahmen!$B$12/(1-Annahmen!$B$15*(1-J6))</f>
        <v/>
      </c>
      <c r="K14" s="22">
        <f>J14*(1-Annahmen!$B$17)+K11*Annahmen!$B$12/(1-Annahmen!$B$15*(1-K6))</f>
        <v/>
      </c>
      <c r="L14" s="22">
        <f>K14*(1-Annahmen!$B$17)+L11*Annahmen!$B$12/(1-Annahmen!$B$15*(1-L6))</f>
        <v/>
      </c>
      <c r="M14" s="22">
        <f>L14*(1-Annahmen!$B$17)+M11*Annahmen!$B$12/(1-Annahmen!$B$15*(1-M6))</f>
        <v/>
      </c>
      <c r="N14" s="22">
        <f>M14*(1-Annahmen!$B$17)+N11*Annahmen!$B$12/(1-Annahmen!$B$15*(1-N6))</f>
        <v/>
      </c>
      <c r="O14" s="22">
        <f>N14*(1-Annahmen!$B$17)+O11*Annahmen!$B$12/(1-Annahmen!$B$15*(1-O6))</f>
        <v/>
      </c>
      <c r="P14" s="22">
        <f>O14*(1-Annahmen!$B$17)+P11*Annahmen!$B$12/(1-Annahmen!$B$15*(1-P6))</f>
        <v/>
      </c>
      <c r="Q14" s="22">
        <f>P14*(1-Annahmen!$B$17)+Q11*Annahmen!$B$12/(1-Annahmen!$B$15*(1-Q6))</f>
        <v/>
      </c>
      <c r="R14" s="22">
        <f>Q14*(1-Annahmen!$B$17)+R11*Annahmen!$B$12/(1-Annahmen!$B$15*(1-R6))</f>
        <v/>
      </c>
      <c r="S14" s="22">
        <f>R14*(1-Annahmen!$B$17)+S11*Annahmen!$B$12/(1-Annahmen!$B$15*(1-S6))</f>
        <v/>
      </c>
      <c r="T14" s="22">
        <f>S14*(1-Annahmen!$B$17)+T11*Annahmen!$B$12/(1-Annahmen!$B$15*(1-T6))</f>
        <v/>
      </c>
      <c r="U14" s="22">
        <f>T14*(1-Annahmen!$B$17)+U11*Annahmen!$B$12/(1-Annahmen!$B$15*(1-U6))</f>
        <v/>
      </c>
      <c r="V14" s="22">
        <f>U14*(1-Annahmen!$B$17)+V11*Annahmen!$B$12/(1-Annahmen!$B$15*(1-V6))</f>
        <v/>
      </c>
      <c r="W14" s="22">
        <f>V14*(1-Annahmen!$B$17)+W11*Annahmen!$B$12/(1-Annahmen!$B$15*(1-W6))</f>
        <v/>
      </c>
      <c r="X14" s="22">
        <f>W14*(1-Annahmen!$B$17)+X11*Annahmen!$B$12/(1-Annahmen!$B$15*(1-X6))</f>
        <v/>
      </c>
      <c r="Y14" s="22">
        <f>X14*(1-Annahmen!$B$17)+Y11*Annahmen!$B$12/(1-Annahmen!$B$15*(1-Y6))</f>
        <v/>
      </c>
    </row>
    <row r="15">
      <c r="A15" s="5" t="inlineStr">
        <is>
          <t>Aktive Programm-Kunden</t>
        </is>
      </c>
      <c r="B15" s="22">
        <f>0*(1-Annahmen!$B$18)+B11*Annahmen!$B$13/(1-Annahmen!$B$15*(1-B6))</f>
        <v/>
      </c>
      <c r="C15" s="22">
        <f>B15*(1-Annahmen!$B$18)+C11*Annahmen!$B$13/(1-Annahmen!$B$15*(1-C6))</f>
        <v/>
      </c>
      <c r="D15" s="22">
        <f>C15*(1-Annahmen!$B$18)+D11*Annahmen!$B$13/(1-Annahmen!$B$15*(1-D6))</f>
        <v/>
      </c>
      <c r="E15" s="22">
        <f>D15*(1-Annahmen!$B$18)+E11*Annahmen!$B$13/(1-Annahmen!$B$15*(1-E6))</f>
        <v/>
      </c>
      <c r="F15" s="22">
        <f>E15*(1-Annahmen!$B$18)+F11*Annahmen!$B$13/(1-Annahmen!$B$15*(1-F6))</f>
        <v/>
      </c>
      <c r="G15" s="22">
        <f>F15*(1-Annahmen!$B$18)+G11*Annahmen!$B$13/(1-Annahmen!$B$15*(1-G6))</f>
        <v/>
      </c>
      <c r="H15" s="22">
        <f>G15*(1-Annahmen!$B$18)+H11*Annahmen!$B$13/(1-Annahmen!$B$15*(1-H6))</f>
        <v/>
      </c>
      <c r="I15" s="22">
        <f>H15*(1-Annahmen!$B$18)+I11*Annahmen!$B$13/(1-Annahmen!$B$15*(1-I6))</f>
        <v/>
      </c>
      <c r="J15" s="22">
        <f>I15*(1-Annahmen!$B$18)+J11*Annahmen!$B$13/(1-Annahmen!$B$15*(1-J6))</f>
        <v/>
      </c>
      <c r="K15" s="22">
        <f>J15*(1-Annahmen!$B$18)+K11*Annahmen!$B$13/(1-Annahmen!$B$15*(1-K6))</f>
        <v/>
      </c>
      <c r="L15" s="22">
        <f>K15*(1-Annahmen!$B$18)+L11*Annahmen!$B$13/(1-Annahmen!$B$15*(1-L6))</f>
        <v/>
      </c>
      <c r="M15" s="22">
        <f>L15*(1-Annahmen!$B$18)+M11*Annahmen!$B$13/(1-Annahmen!$B$15*(1-M6))</f>
        <v/>
      </c>
      <c r="N15" s="22">
        <f>M15*(1-Annahmen!$B$18)+N11*Annahmen!$B$13/(1-Annahmen!$B$15*(1-N6))</f>
        <v/>
      </c>
      <c r="O15" s="22">
        <f>N15*(1-Annahmen!$B$18)+O11*Annahmen!$B$13/(1-Annahmen!$B$15*(1-O6))</f>
        <v/>
      </c>
      <c r="P15" s="22">
        <f>O15*(1-Annahmen!$B$18)+P11*Annahmen!$B$13/(1-Annahmen!$B$15*(1-P6))</f>
        <v/>
      </c>
      <c r="Q15" s="22">
        <f>P15*(1-Annahmen!$B$18)+Q11*Annahmen!$B$13/(1-Annahmen!$B$15*(1-Q6))</f>
        <v/>
      </c>
      <c r="R15" s="22">
        <f>Q15*(1-Annahmen!$B$18)+R11*Annahmen!$B$13/(1-Annahmen!$B$15*(1-R6))</f>
        <v/>
      </c>
      <c r="S15" s="22">
        <f>R15*(1-Annahmen!$B$18)+S11*Annahmen!$B$13/(1-Annahmen!$B$15*(1-S6))</f>
        <v/>
      </c>
      <c r="T15" s="22">
        <f>S15*(1-Annahmen!$B$18)+T11*Annahmen!$B$13/(1-Annahmen!$B$15*(1-T6))</f>
        <v/>
      </c>
      <c r="U15" s="22">
        <f>T15*(1-Annahmen!$B$18)+U11*Annahmen!$B$13/(1-Annahmen!$B$15*(1-U6))</f>
        <v/>
      </c>
      <c r="V15" s="22">
        <f>U15*(1-Annahmen!$B$18)+V11*Annahmen!$B$13/(1-Annahmen!$B$15*(1-V6))</f>
        <v/>
      </c>
      <c r="W15" s="22">
        <f>V15*(1-Annahmen!$B$18)+W11*Annahmen!$B$13/(1-Annahmen!$B$15*(1-W6))</f>
        <v/>
      </c>
      <c r="X15" s="22">
        <f>W15*(1-Annahmen!$B$18)+X11*Annahmen!$B$13/(1-Annahmen!$B$15*(1-X6))</f>
        <v/>
      </c>
      <c r="Y15" s="22">
        <f>X15*(1-Annahmen!$B$18)+Y11*Annahmen!$B$13/(1-Annahmen!$B$15*(1-Y6))</f>
        <v/>
      </c>
    </row>
    <row r="16">
      <c r="A16" s="5" t="inlineStr">
        <is>
          <t>Aktive SEO-Kunden</t>
        </is>
      </c>
      <c r="B16" s="22">
        <f>0*(1-Annahmen!$B$19)+B11*Annahmen!$B$14/(1-Annahmen!$B$15*(1-B6))</f>
        <v/>
      </c>
      <c r="C16" s="22">
        <f>B16*(1-Annahmen!$B$19)+C11*Annahmen!$B$14/(1-Annahmen!$B$15*(1-C6))</f>
        <v/>
      </c>
      <c r="D16" s="22">
        <f>C16*(1-Annahmen!$B$19)+D11*Annahmen!$B$14/(1-Annahmen!$B$15*(1-D6))</f>
        <v/>
      </c>
      <c r="E16" s="22">
        <f>D16*(1-Annahmen!$B$19)+E11*Annahmen!$B$14/(1-Annahmen!$B$15*(1-E6))</f>
        <v/>
      </c>
      <c r="F16" s="22">
        <f>E16*(1-Annahmen!$B$19)+F11*Annahmen!$B$14/(1-Annahmen!$B$15*(1-F6))</f>
        <v/>
      </c>
      <c r="G16" s="22">
        <f>F16*(1-Annahmen!$B$19)+G11*Annahmen!$B$14/(1-Annahmen!$B$15*(1-G6))</f>
        <v/>
      </c>
      <c r="H16" s="22">
        <f>G16*(1-Annahmen!$B$19)+H11*Annahmen!$B$14/(1-Annahmen!$B$15*(1-H6))</f>
        <v/>
      </c>
      <c r="I16" s="22">
        <f>H16*(1-Annahmen!$B$19)+I11*Annahmen!$B$14/(1-Annahmen!$B$15*(1-I6))</f>
        <v/>
      </c>
      <c r="J16" s="22">
        <f>I16*(1-Annahmen!$B$19)+J11*Annahmen!$B$14/(1-Annahmen!$B$15*(1-J6))</f>
        <v/>
      </c>
      <c r="K16" s="22">
        <f>J16*(1-Annahmen!$B$19)+K11*Annahmen!$B$14/(1-Annahmen!$B$15*(1-K6))</f>
        <v/>
      </c>
      <c r="L16" s="22">
        <f>K16*(1-Annahmen!$B$19)+L11*Annahmen!$B$14/(1-Annahmen!$B$15*(1-L6))</f>
        <v/>
      </c>
      <c r="M16" s="22">
        <f>L16*(1-Annahmen!$B$19)+M11*Annahmen!$B$14/(1-Annahmen!$B$15*(1-M6))</f>
        <v/>
      </c>
      <c r="N16" s="22">
        <f>M16*(1-Annahmen!$B$19)+N11*Annahmen!$B$14/(1-Annahmen!$B$15*(1-N6))</f>
        <v/>
      </c>
      <c r="O16" s="22">
        <f>N16*(1-Annahmen!$B$19)+O11*Annahmen!$B$14/(1-Annahmen!$B$15*(1-O6))</f>
        <v/>
      </c>
      <c r="P16" s="22">
        <f>O16*(1-Annahmen!$B$19)+P11*Annahmen!$B$14/(1-Annahmen!$B$15*(1-P6))</f>
        <v/>
      </c>
      <c r="Q16" s="22">
        <f>P16*(1-Annahmen!$B$19)+Q11*Annahmen!$B$14/(1-Annahmen!$B$15*(1-Q6))</f>
        <v/>
      </c>
      <c r="R16" s="22">
        <f>Q16*(1-Annahmen!$B$19)+R11*Annahmen!$B$14/(1-Annahmen!$B$15*(1-R6))</f>
        <v/>
      </c>
      <c r="S16" s="22">
        <f>R16*(1-Annahmen!$B$19)+S11*Annahmen!$B$14/(1-Annahmen!$B$15*(1-S6))</f>
        <v/>
      </c>
      <c r="T16" s="22">
        <f>S16*(1-Annahmen!$B$19)+T11*Annahmen!$B$14/(1-Annahmen!$B$15*(1-T6))</f>
        <v/>
      </c>
      <c r="U16" s="22">
        <f>T16*(1-Annahmen!$B$19)+U11*Annahmen!$B$14/(1-Annahmen!$B$15*(1-U6))</f>
        <v/>
      </c>
      <c r="V16" s="22">
        <f>U16*(1-Annahmen!$B$19)+V11*Annahmen!$B$14/(1-Annahmen!$B$15*(1-V6))</f>
        <v/>
      </c>
      <c r="W16" s="22">
        <f>V16*(1-Annahmen!$B$19)+W11*Annahmen!$B$14/(1-Annahmen!$B$15*(1-W6))</f>
        <v/>
      </c>
      <c r="X16" s="22">
        <f>W16*(1-Annahmen!$B$19)+X11*Annahmen!$B$14/(1-Annahmen!$B$15*(1-X6))</f>
        <v/>
      </c>
      <c r="Y16" s="22">
        <f>X16*(1-Annahmen!$B$19)+Y11*Annahmen!$B$14/(1-Annahmen!$B$15*(1-Y6))</f>
        <v/>
      </c>
    </row>
    <row r="17">
      <c r="A17" s="5" t="inlineStr">
        <is>
          <t>Aktive Recruiting-Kunden</t>
        </is>
      </c>
      <c r="B17" s="22">
        <f>0*(1-Annahmen!$B$20)+B11*Annahmen!$B$15*B6</f>
        <v/>
      </c>
      <c r="C17" s="22">
        <f>B17*(1-Annahmen!$B$20)+C11*Annahmen!$B$15*C6</f>
        <v/>
      </c>
      <c r="D17" s="22">
        <f>C17*(1-Annahmen!$B$20)+D11*Annahmen!$B$15*D6</f>
        <v/>
      </c>
      <c r="E17" s="22">
        <f>D17*(1-Annahmen!$B$20)+E11*Annahmen!$B$15*E6</f>
        <v/>
      </c>
      <c r="F17" s="22">
        <f>E17*(1-Annahmen!$B$20)+F11*Annahmen!$B$15*F6</f>
        <v/>
      </c>
      <c r="G17" s="22">
        <f>F17*(1-Annahmen!$B$20)+G11*Annahmen!$B$15*G6</f>
        <v/>
      </c>
      <c r="H17" s="22">
        <f>G17*(1-Annahmen!$B$20)+H11*Annahmen!$B$15*H6</f>
        <v/>
      </c>
      <c r="I17" s="22">
        <f>H17*(1-Annahmen!$B$20)+I11*Annahmen!$B$15*I6</f>
        <v/>
      </c>
      <c r="J17" s="22">
        <f>I17*(1-Annahmen!$B$20)+J11*Annahmen!$B$15*J6</f>
        <v/>
      </c>
      <c r="K17" s="22">
        <f>J17*(1-Annahmen!$B$20)+K11*Annahmen!$B$15*K6</f>
        <v/>
      </c>
      <c r="L17" s="22">
        <f>K17*(1-Annahmen!$B$20)+L11*Annahmen!$B$15*L6</f>
        <v/>
      </c>
      <c r="M17" s="22">
        <f>L17*(1-Annahmen!$B$20)+M11*Annahmen!$B$15*M6</f>
        <v/>
      </c>
      <c r="N17" s="22">
        <f>M17*(1-Annahmen!$B$20)+N11*Annahmen!$B$15*N6</f>
        <v/>
      </c>
      <c r="O17" s="22">
        <f>N17*(1-Annahmen!$B$20)+O11*Annahmen!$B$15*O6</f>
        <v/>
      </c>
      <c r="P17" s="22">
        <f>O17*(1-Annahmen!$B$20)+P11*Annahmen!$B$15*P6</f>
        <v/>
      </c>
      <c r="Q17" s="22">
        <f>P17*(1-Annahmen!$B$20)+Q11*Annahmen!$B$15*Q6</f>
        <v/>
      </c>
      <c r="R17" s="22">
        <f>Q17*(1-Annahmen!$B$20)+R11*Annahmen!$B$15*R6</f>
        <v/>
      </c>
      <c r="S17" s="22">
        <f>R17*(1-Annahmen!$B$20)+S11*Annahmen!$B$15*S6</f>
        <v/>
      </c>
      <c r="T17" s="22">
        <f>S17*(1-Annahmen!$B$20)+T11*Annahmen!$B$15*T6</f>
        <v/>
      </c>
      <c r="U17" s="22">
        <f>T17*(1-Annahmen!$B$20)+U11*Annahmen!$B$15*U6</f>
        <v/>
      </c>
      <c r="V17" s="22">
        <f>U17*(1-Annahmen!$B$20)+V11*Annahmen!$B$15*V6</f>
        <v/>
      </c>
      <c r="W17" s="22">
        <f>V17*(1-Annahmen!$B$20)+W11*Annahmen!$B$15*W6</f>
        <v/>
      </c>
      <c r="X17" s="22">
        <f>W17*(1-Annahmen!$B$20)+X11*Annahmen!$B$15*X6</f>
        <v/>
      </c>
      <c r="Y17" s="22">
        <f>X17*(1-Annahmen!$B$20)+Y11*Annahmen!$B$15*Y6</f>
        <v/>
      </c>
    </row>
    <row r="18">
      <c r="A18" s="24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  <c r="T18" s="24" t="n"/>
      <c r="U18" s="24" t="n"/>
      <c r="V18" s="24" t="n"/>
      <c r="W18" s="24" t="n"/>
      <c r="X18" s="24" t="n"/>
      <c r="Y18" s="24" t="n"/>
    </row>
    <row r="19">
      <c r="A19" s="7" t="inlineStr">
        <is>
          <t>MRR</t>
        </is>
      </c>
      <c r="B19" s="25">
        <f>B14*Annahmen!$B$6+B15*Annahmen!$B$7+B16*Annahmen!$B$9+B17*Annahmen!$B$10</f>
        <v/>
      </c>
      <c r="C19" s="25">
        <f>C14*Annahmen!$B$6+C15*Annahmen!$B$7+C16*Annahmen!$B$9+C17*Annahmen!$B$10</f>
        <v/>
      </c>
      <c r="D19" s="25">
        <f>D14*Annahmen!$B$6+D15*Annahmen!$B$7+D16*Annahmen!$B$9+D17*Annahmen!$B$10</f>
        <v/>
      </c>
      <c r="E19" s="25">
        <f>E14*Annahmen!$B$6+E15*Annahmen!$B$7+E16*Annahmen!$B$9+E17*Annahmen!$B$10</f>
        <v/>
      </c>
      <c r="F19" s="25">
        <f>F14*Annahmen!$B$6+F15*Annahmen!$B$7+F16*Annahmen!$B$9+F17*Annahmen!$B$10</f>
        <v/>
      </c>
      <c r="G19" s="25">
        <f>G14*Annahmen!$B$6+G15*Annahmen!$B$7+G16*Annahmen!$B$9+G17*Annahmen!$B$10</f>
        <v/>
      </c>
      <c r="H19" s="25">
        <f>H14*Annahmen!$B$6+H15*Annahmen!$B$7+H16*Annahmen!$B$9+H17*Annahmen!$B$10</f>
        <v/>
      </c>
      <c r="I19" s="25">
        <f>I14*Annahmen!$B$6+I15*Annahmen!$B$7+I16*Annahmen!$B$9+I17*Annahmen!$B$10</f>
        <v/>
      </c>
      <c r="J19" s="25">
        <f>J14*Annahmen!$B$6+J15*Annahmen!$B$7+J16*Annahmen!$B$9+J17*Annahmen!$B$10</f>
        <v/>
      </c>
      <c r="K19" s="25">
        <f>K14*Annahmen!$B$6+K15*Annahmen!$B$7+K16*Annahmen!$B$9+K17*Annahmen!$B$10</f>
        <v/>
      </c>
      <c r="L19" s="25">
        <f>L14*Annahmen!$B$6+L15*Annahmen!$B$7+L16*Annahmen!$B$9+L17*Annahmen!$B$10</f>
        <v/>
      </c>
      <c r="M19" s="25">
        <f>M14*Annahmen!$B$6+M15*Annahmen!$B$7+M16*Annahmen!$B$9+M17*Annahmen!$B$10</f>
        <v/>
      </c>
      <c r="N19" s="25">
        <f>N14*Annahmen!$B$6+N15*Annahmen!$B$7+N16*Annahmen!$B$9+N17*Annahmen!$B$10</f>
        <v/>
      </c>
      <c r="O19" s="25">
        <f>O14*Annahmen!$B$6+O15*Annahmen!$B$7+O16*Annahmen!$B$9+O17*Annahmen!$B$10</f>
        <v/>
      </c>
      <c r="P19" s="25">
        <f>P14*Annahmen!$B$6+P15*Annahmen!$B$7+P16*Annahmen!$B$9+P17*Annahmen!$B$10</f>
        <v/>
      </c>
      <c r="Q19" s="25">
        <f>Q14*Annahmen!$B$6+Q15*Annahmen!$B$7+Q16*Annahmen!$B$9+Q17*Annahmen!$B$10</f>
        <v/>
      </c>
      <c r="R19" s="25">
        <f>R14*Annahmen!$B$6+R15*Annahmen!$B$7+R16*Annahmen!$B$9+R17*Annahmen!$B$10</f>
        <v/>
      </c>
      <c r="S19" s="25">
        <f>S14*Annahmen!$B$6+S15*Annahmen!$B$7+S16*Annahmen!$B$9+S17*Annahmen!$B$10</f>
        <v/>
      </c>
      <c r="T19" s="25">
        <f>T14*Annahmen!$B$6+T15*Annahmen!$B$7+T16*Annahmen!$B$9+T17*Annahmen!$B$10</f>
        <v/>
      </c>
      <c r="U19" s="25">
        <f>U14*Annahmen!$B$6+U15*Annahmen!$B$7+U16*Annahmen!$B$9+U17*Annahmen!$B$10</f>
        <v/>
      </c>
      <c r="V19" s="25">
        <f>V14*Annahmen!$B$6+V15*Annahmen!$B$7+V16*Annahmen!$B$9+V17*Annahmen!$B$10</f>
        <v/>
      </c>
      <c r="W19" s="25">
        <f>W14*Annahmen!$B$6+W15*Annahmen!$B$7+W16*Annahmen!$B$9+W17*Annahmen!$B$10</f>
        <v/>
      </c>
      <c r="X19" s="25">
        <f>X14*Annahmen!$B$6+X15*Annahmen!$B$7+X16*Annahmen!$B$9+X17*Annahmen!$B$10</f>
        <v/>
      </c>
      <c r="Y19" s="25">
        <f>Y14*Annahmen!$B$6+Y15*Annahmen!$B$7+Y16*Annahmen!$B$9+Y17*Annahmen!$B$10</f>
        <v/>
      </c>
    </row>
    <row r="20">
      <c r="A20" s="5" t="inlineStr">
        <is>
          <t>Einmalumsatz</t>
        </is>
      </c>
      <c r="B20" s="26">
        <f>B11*(Annahmen!$B$12/(1-Annahmen!$B$15*(1-B6))*Annahmen!$B$5+Annahmen!$B$13/(1-Annahmen!$B$15*(1-B6))*Annahmen!$B$8+Annahmen!$B$15*B6*Annahmen!$B$11)</f>
        <v/>
      </c>
      <c r="C20" s="26">
        <f>C11*(Annahmen!$B$12/(1-Annahmen!$B$15*(1-C6))*Annahmen!$B$5+Annahmen!$B$13/(1-Annahmen!$B$15*(1-C6))*Annahmen!$B$8+Annahmen!$B$15*C6*Annahmen!$B$11)</f>
        <v/>
      </c>
      <c r="D20" s="26">
        <f>D11*(Annahmen!$B$12/(1-Annahmen!$B$15*(1-D6))*Annahmen!$B$5+Annahmen!$B$13/(1-Annahmen!$B$15*(1-D6))*Annahmen!$B$8+Annahmen!$B$15*D6*Annahmen!$B$11)</f>
        <v/>
      </c>
      <c r="E20" s="26">
        <f>E11*(Annahmen!$B$12/(1-Annahmen!$B$15*(1-E6))*Annahmen!$B$5+Annahmen!$B$13/(1-Annahmen!$B$15*(1-E6))*Annahmen!$B$8+Annahmen!$B$15*E6*Annahmen!$B$11)</f>
        <v/>
      </c>
      <c r="F20" s="26">
        <f>F11*(Annahmen!$B$12/(1-Annahmen!$B$15*(1-F6))*Annahmen!$B$5+Annahmen!$B$13/(1-Annahmen!$B$15*(1-F6))*Annahmen!$B$8+Annahmen!$B$15*F6*Annahmen!$B$11)</f>
        <v/>
      </c>
      <c r="G20" s="26">
        <f>G11*(Annahmen!$B$12/(1-Annahmen!$B$15*(1-G6))*Annahmen!$B$5+Annahmen!$B$13/(1-Annahmen!$B$15*(1-G6))*Annahmen!$B$8+Annahmen!$B$15*G6*Annahmen!$B$11)</f>
        <v/>
      </c>
      <c r="H20" s="26">
        <f>H11*(Annahmen!$B$12/(1-Annahmen!$B$15*(1-H6))*Annahmen!$B$5+Annahmen!$B$13/(1-Annahmen!$B$15*(1-H6))*Annahmen!$B$8+Annahmen!$B$15*H6*Annahmen!$B$11)</f>
        <v/>
      </c>
      <c r="I20" s="26">
        <f>I11*(Annahmen!$B$12/(1-Annahmen!$B$15*(1-I6))*Annahmen!$B$5+Annahmen!$B$13/(1-Annahmen!$B$15*(1-I6))*Annahmen!$B$8+Annahmen!$B$15*I6*Annahmen!$B$11)</f>
        <v/>
      </c>
      <c r="J20" s="26">
        <f>J11*(Annahmen!$B$12/(1-Annahmen!$B$15*(1-J6))*Annahmen!$B$5+Annahmen!$B$13/(1-Annahmen!$B$15*(1-J6))*Annahmen!$B$8+Annahmen!$B$15*J6*Annahmen!$B$11)</f>
        <v/>
      </c>
      <c r="K20" s="26">
        <f>K11*(Annahmen!$B$12/(1-Annahmen!$B$15*(1-K6))*Annahmen!$B$5+Annahmen!$B$13/(1-Annahmen!$B$15*(1-K6))*Annahmen!$B$8+Annahmen!$B$15*K6*Annahmen!$B$11)</f>
        <v/>
      </c>
      <c r="L20" s="26">
        <f>L11*(Annahmen!$B$12/(1-Annahmen!$B$15*(1-L6))*Annahmen!$B$5+Annahmen!$B$13/(1-Annahmen!$B$15*(1-L6))*Annahmen!$B$8+Annahmen!$B$15*L6*Annahmen!$B$11)</f>
        <v/>
      </c>
      <c r="M20" s="26">
        <f>M11*(Annahmen!$B$12/(1-Annahmen!$B$15*(1-M6))*Annahmen!$B$5+Annahmen!$B$13/(1-Annahmen!$B$15*(1-M6))*Annahmen!$B$8+Annahmen!$B$15*M6*Annahmen!$B$11)</f>
        <v/>
      </c>
      <c r="N20" s="26">
        <f>N11*(Annahmen!$B$12/(1-Annahmen!$B$15*(1-N6))*Annahmen!$B$5+Annahmen!$B$13/(1-Annahmen!$B$15*(1-N6))*Annahmen!$B$8+Annahmen!$B$15*N6*Annahmen!$B$11)</f>
        <v/>
      </c>
      <c r="O20" s="26">
        <f>O11*(Annahmen!$B$12/(1-Annahmen!$B$15*(1-O6))*Annahmen!$B$5+Annahmen!$B$13/(1-Annahmen!$B$15*(1-O6))*Annahmen!$B$8+Annahmen!$B$15*O6*Annahmen!$B$11)</f>
        <v/>
      </c>
      <c r="P20" s="26">
        <f>P11*(Annahmen!$B$12/(1-Annahmen!$B$15*(1-P6))*Annahmen!$B$5+Annahmen!$B$13/(1-Annahmen!$B$15*(1-P6))*Annahmen!$B$8+Annahmen!$B$15*P6*Annahmen!$B$11)</f>
        <v/>
      </c>
      <c r="Q20" s="26">
        <f>Q11*(Annahmen!$B$12/(1-Annahmen!$B$15*(1-Q6))*Annahmen!$B$5+Annahmen!$B$13/(1-Annahmen!$B$15*(1-Q6))*Annahmen!$B$8+Annahmen!$B$15*Q6*Annahmen!$B$11)</f>
        <v/>
      </c>
      <c r="R20" s="26">
        <f>R11*(Annahmen!$B$12/(1-Annahmen!$B$15*(1-R6))*Annahmen!$B$5+Annahmen!$B$13/(1-Annahmen!$B$15*(1-R6))*Annahmen!$B$8+Annahmen!$B$15*R6*Annahmen!$B$11)</f>
        <v/>
      </c>
      <c r="S20" s="26">
        <f>S11*(Annahmen!$B$12/(1-Annahmen!$B$15*(1-S6))*Annahmen!$B$5+Annahmen!$B$13/(1-Annahmen!$B$15*(1-S6))*Annahmen!$B$8+Annahmen!$B$15*S6*Annahmen!$B$11)</f>
        <v/>
      </c>
      <c r="T20" s="26">
        <f>T11*(Annahmen!$B$12/(1-Annahmen!$B$15*(1-T6))*Annahmen!$B$5+Annahmen!$B$13/(1-Annahmen!$B$15*(1-T6))*Annahmen!$B$8+Annahmen!$B$15*T6*Annahmen!$B$11)</f>
        <v/>
      </c>
      <c r="U20" s="26">
        <f>U11*(Annahmen!$B$12/(1-Annahmen!$B$15*(1-U6))*Annahmen!$B$5+Annahmen!$B$13/(1-Annahmen!$B$15*(1-U6))*Annahmen!$B$8+Annahmen!$B$15*U6*Annahmen!$B$11)</f>
        <v/>
      </c>
      <c r="V20" s="26">
        <f>V11*(Annahmen!$B$12/(1-Annahmen!$B$15*(1-V6))*Annahmen!$B$5+Annahmen!$B$13/(1-Annahmen!$B$15*(1-V6))*Annahmen!$B$8+Annahmen!$B$15*V6*Annahmen!$B$11)</f>
        <v/>
      </c>
      <c r="W20" s="26">
        <f>W11*(Annahmen!$B$12/(1-Annahmen!$B$15*(1-W6))*Annahmen!$B$5+Annahmen!$B$13/(1-Annahmen!$B$15*(1-W6))*Annahmen!$B$8+Annahmen!$B$15*W6*Annahmen!$B$11)</f>
        <v/>
      </c>
      <c r="X20" s="26">
        <f>X11*(Annahmen!$B$12/(1-Annahmen!$B$15*(1-X6))*Annahmen!$B$5+Annahmen!$B$13/(1-Annahmen!$B$15*(1-X6))*Annahmen!$B$8+Annahmen!$B$15*X6*Annahmen!$B$11)</f>
        <v/>
      </c>
      <c r="Y20" s="26">
        <f>Y11*(Annahmen!$B$12/(1-Annahmen!$B$15*(1-Y6))*Annahmen!$B$5+Annahmen!$B$13/(1-Annahmen!$B$15*(1-Y6))*Annahmen!$B$8+Annahmen!$B$15*Y6*Annahmen!$B$11)</f>
        <v/>
      </c>
    </row>
    <row r="21">
      <c r="A21" s="7" t="inlineStr">
        <is>
          <t>Umsatz</t>
        </is>
      </c>
      <c r="B21" s="25">
        <f>B19+B20</f>
        <v/>
      </c>
      <c r="C21" s="25">
        <f>C19+C20</f>
        <v/>
      </c>
      <c r="D21" s="25">
        <f>D19+D20</f>
        <v/>
      </c>
      <c r="E21" s="25">
        <f>E19+E20</f>
        <v/>
      </c>
      <c r="F21" s="25">
        <f>F19+F20</f>
        <v/>
      </c>
      <c r="G21" s="25">
        <f>G19+G20</f>
        <v/>
      </c>
      <c r="H21" s="25">
        <f>H19+H20</f>
        <v/>
      </c>
      <c r="I21" s="25">
        <f>I19+I20</f>
        <v/>
      </c>
      <c r="J21" s="25">
        <f>J19+J20</f>
        <v/>
      </c>
      <c r="K21" s="25">
        <f>K19+K20</f>
        <v/>
      </c>
      <c r="L21" s="25">
        <f>L19+L20</f>
        <v/>
      </c>
      <c r="M21" s="25">
        <f>M19+M20</f>
        <v/>
      </c>
      <c r="N21" s="25">
        <f>N19+N20</f>
        <v/>
      </c>
      <c r="O21" s="25">
        <f>O19+O20</f>
        <v/>
      </c>
      <c r="P21" s="25">
        <f>P19+P20</f>
        <v/>
      </c>
      <c r="Q21" s="25">
        <f>Q19+Q20</f>
        <v/>
      </c>
      <c r="R21" s="25">
        <f>R19+R20</f>
        <v/>
      </c>
      <c r="S21" s="25">
        <f>S19+S20</f>
        <v/>
      </c>
      <c r="T21" s="25">
        <f>T19+T20</f>
        <v/>
      </c>
      <c r="U21" s="25">
        <f>U19+U20</f>
        <v/>
      </c>
      <c r="V21" s="25">
        <f>V19+V20</f>
        <v/>
      </c>
      <c r="W21" s="25">
        <f>W19+W20</f>
        <v/>
      </c>
      <c r="X21" s="25">
        <f>X19+X20</f>
        <v/>
      </c>
      <c r="Y21" s="25">
        <f>Y19+Y20</f>
        <v/>
      </c>
    </row>
    <row r="22">
      <c r="A22" s="5" t="inlineStr">
        <is>
          <t>Kosten</t>
        </is>
      </c>
      <c r="B22" s="26">
        <f>Annahmen!$B$42+Annahmen!$B$43+B7*Annahmen!$B$40</f>
        <v/>
      </c>
      <c r="C22" s="26">
        <f>Annahmen!$B$42+Annahmen!$B$43+C7*Annahmen!$B$40</f>
        <v/>
      </c>
      <c r="D22" s="26">
        <f>Annahmen!$B$42+Annahmen!$B$43+D7*Annahmen!$B$40</f>
        <v/>
      </c>
      <c r="E22" s="26">
        <f>Annahmen!$B$42+Annahmen!$B$43+E7*Annahmen!$B$40</f>
        <v/>
      </c>
      <c r="F22" s="26">
        <f>Annahmen!$B$42+Annahmen!$B$43+F7*Annahmen!$B$40</f>
        <v/>
      </c>
      <c r="G22" s="26">
        <f>Annahmen!$B$42+Annahmen!$B$43+G7*Annahmen!$B$40</f>
        <v/>
      </c>
      <c r="H22" s="26">
        <f>Annahmen!$B$42+Annahmen!$B$43+H7*Annahmen!$B$40</f>
        <v/>
      </c>
      <c r="I22" s="26">
        <f>Annahmen!$B$42+Annahmen!$B$43+I7*Annahmen!$B$40</f>
        <v/>
      </c>
      <c r="J22" s="26">
        <f>Annahmen!$B$42+Annahmen!$B$43+J7*Annahmen!$B$40</f>
        <v/>
      </c>
      <c r="K22" s="26">
        <f>Annahmen!$B$42+Annahmen!$B$43+K7*Annahmen!$B$40</f>
        <v/>
      </c>
      <c r="L22" s="26">
        <f>Annahmen!$B$42+Annahmen!$B$43+L7*Annahmen!$B$40</f>
        <v/>
      </c>
      <c r="M22" s="26">
        <f>Annahmen!$B$42+Annahmen!$B$43+M7*Annahmen!$B$40</f>
        <v/>
      </c>
      <c r="N22" s="26">
        <f>Annahmen!$B$42+Annahmen!$B$43+N7*Annahmen!$B$40</f>
        <v/>
      </c>
      <c r="O22" s="26">
        <f>Annahmen!$B$42+Annahmen!$B$43+O7*Annahmen!$B$40</f>
        <v/>
      </c>
      <c r="P22" s="26">
        <f>Annahmen!$B$42+Annahmen!$B$43+P7*Annahmen!$B$40</f>
        <v/>
      </c>
      <c r="Q22" s="26">
        <f>Annahmen!$B$42+Annahmen!$B$43+Q7*Annahmen!$B$40</f>
        <v/>
      </c>
      <c r="R22" s="26">
        <f>Annahmen!$B$42+Annahmen!$B$43+R7*Annahmen!$B$40</f>
        <v/>
      </c>
      <c r="S22" s="26">
        <f>Annahmen!$B$42+Annahmen!$B$43+S7*Annahmen!$B$40</f>
        <v/>
      </c>
      <c r="T22" s="26">
        <f>Annahmen!$B$42+Annahmen!$B$43+T7*Annahmen!$B$40</f>
        <v/>
      </c>
      <c r="U22" s="26">
        <f>Annahmen!$B$42+Annahmen!$B$43+U7*Annahmen!$B$40</f>
        <v/>
      </c>
      <c r="V22" s="26">
        <f>Annahmen!$B$42+Annahmen!$B$43+V7*Annahmen!$B$40</f>
        <v/>
      </c>
      <c r="W22" s="26">
        <f>Annahmen!$B$42+Annahmen!$B$43+W7*Annahmen!$B$40</f>
        <v/>
      </c>
      <c r="X22" s="26">
        <f>Annahmen!$B$42+Annahmen!$B$43+X7*Annahmen!$B$40</f>
        <v/>
      </c>
      <c r="Y22" s="26">
        <f>Annahmen!$B$42+Annahmen!$B$43+Y7*Annahmen!$B$40</f>
        <v/>
      </c>
    </row>
    <row r="23">
      <c r="A23" s="7" t="inlineStr">
        <is>
          <t>Ergebnis vor Steuern (= Einkommen Gründer)</t>
        </is>
      </c>
      <c r="B23" s="25">
        <f>B21-B22</f>
        <v/>
      </c>
      <c r="C23" s="25">
        <f>C21-C22</f>
        <v/>
      </c>
      <c r="D23" s="25">
        <f>D21-D22</f>
        <v/>
      </c>
      <c r="E23" s="25">
        <f>E21-E22</f>
        <v/>
      </c>
      <c r="F23" s="25">
        <f>F21-F22</f>
        <v/>
      </c>
      <c r="G23" s="25">
        <f>G21-G22</f>
        <v/>
      </c>
      <c r="H23" s="25">
        <f>H21-H22</f>
        <v/>
      </c>
      <c r="I23" s="25">
        <f>I21-I22</f>
        <v/>
      </c>
      <c r="J23" s="25">
        <f>J21-J22</f>
        <v/>
      </c>
      <c r="K23" s="25">
        <f>K21-K22</f>
        <v/>
      </c>
      <c r="L23" s="25">
        <f>L21-L22</f>
        <v/>
      </c>
      <c r="M23" s="25">
        <f>M21-M22</f>
        <v/>
      </c>
      <c r="N23" s="25">
        <f>N21-N22</f>
        <v/>
      </c>
      <c r="O23" s="25">
        <f>O21-O22</f>
        <v/>
      </c>
      <c r="P23" s="25">
        <f>P21-P22</f>
        <v/>
      </c>
      <c r="Q23" s="25">
        <f>Q21-Q22</f>
        <v/>
      </c>
      <c r="R23" s="25">
        <f>R21-R22</f>
        <v/>
      </c>
      <c r="S23" s="25">
        <f>S21-S22</f>
        <v/>
      </c>
      <c r="T23" s="25">
        <f>T21-T22</f>
        <v/>
      </c>
      <c r="U23" s="25">
        <f>U21-U22</f>
        <v/>
      </c>
      <c r="V23" s="25">
        <f>V21-V22</f>
        <v/>
      </c>
      <c r="W23" s="25">
        <f>W21-W22</f>
        <v/>
      </c>
      <c r="X23" s="25">
        <f>X21-X22</f>
        <v/>
      </c>
      <c r="Y23" s="25">
        <f>Y21-Y22</f>
        <v/>
      </c>
    </row>
    <row r="24">
      <c r="A24" s="7" t="inlineStr">
        <is>
          <t>Kasse kumuliert</t>
        </is>
      </c>
      <c r="B24" s="16">
        <f>B23</f>
        <v/>
      </c>
      <c r="C24" s="16">
        <f>B24+C23</f>
        <v/>
      </c>
      <c r="D24" s="16">
        <f>C24+D23</f>
        <v/>
      </c>
      <c r="E24" s="16">
        <f>D24+E23</f>
        <v/>
      </c>
      <c r="F24" s="16">
        <f>E24+F23</f>
        <v/>
      </c>
      <c r="G24" s="16">
        <f>F24+G23</f>
        <v/>
      </c>
      <c r="H24" s="16">
        <f>G24+H23</f>
        <v/>
      </c>
      <c r="I24" s="16">
        <f>H24+I23</f>
        <v/>
      </c>
      <c r="J24" s="16">
        <f>I24+J23</f>
        <v/>
      </c>
      <c r="K24" s="16">
        <f>J24+K23</f>
        <v/>
      </c>
      <c r="L24" s="16">
        <f>K24+L23</f>
        <v/>
      </c>
      <c r="M24" s="16">
        <f>L24+M23</f>
        <v/>
      </c>
      <c r="N24" s="16">
        <f>M24+N23</f>
        <v/>
      </c>
      <c r="O24" s="16">
        <f>N24+O23</f>
        <v/>
      </c>
      <c r="P24" s="16">
        <f>O24+P23</f>
        <v/>
      </c>
      <c r="Q24" s="16">
        <f>P24+Q23</f>
        <v/>
      </c>
      <c r="R24" s="16">
        <f>Q24+R23</f>
        <v/>
      </c>
      <c r="S24" s="16">
        <f>R24+S23</f>
        <v/>
      </c>
      <c r="T24" s="16">
        <f>S24+T23</f>
        <v/>
      </c>
      <c r="U24" s="16">
        <f>T24+U23</f>
        <v/>
      </c>
      <c r="V24" s="16">
        <f>U24+V23</f>
        <v/>
      </c>
      <c r="W24" s="16">
        <f>V24+W23</f>
        <v/>
      </c>
      <c r="X24" s="16">
        <f>W24+X23</f>
        <v/>
      </c>
      <c r="Y24" s="16">
        <f>X24+Y23</f>
        <v/>
      </c>
    </row>
    <row r="25">
      <c r="A25" s="5" t="inlineStr">
        <is>
          <t>Belegte Stunden</t>
        </is>
      </c>
      <c r="B25" s="22">
        <f>B9+B11*B8</f>
        <v/>
      </c>
      <c r="C25" s="22">
        <f>C9+C11*C8</f>
        <v/>
      </c>
      <c r="D25" s="22">
        <f>D9+D11*D8</f>
        <v/>
      </c>
      <c r="E25" s="22">
        <f>E9+E11*E8</f>
        <v/>
      </c>
      <c r="F25" s="22">
        <f>F9+F11*F8</f>
        <v/>
      </c>
      <c r="G25" s="22">
        <f>G9+G11*G8</f>
        <v/>
      </c>
      <c r="H25" s="22">
        <f>H9+H11*H8</f>
        <v/>
      </c>
      <c r="I25" s="22">
        <f>I9+I11*I8</f>
        <v/>
      </c>
      <c r="J25" s="22">
        <f>J9+J11*J8</f>
        <v/>
      </c>
      <c r="K25" s="22">
        <f>K9+K11*K8</f>
        <v/>
      </c>
      <c r="L25" s="22">
        <f>L9+L11*L8</f>
        <v/>
      </c>
      <c r="M25" s="22">
        <f>M9+M11*M8</f>
        <v/>
      </c>
      <c r="N25" s="22">
        <f>N9+N11*N8</f>
        <v/>
      </c>
      <c r="O25" s="22">
        <f>O9+O11*O8</f>
        <v/>
      </c>
      <c r="P25" s="22">
        <f>P9+P11*P8</f>
        <v/>
      </c>
      <c r="Q25" s="22">
        <f>Q9+Q11*Q8</f>
        <v/>
      </c>
      <c r="R25" s="22">
        <f>R9+R11*R8</f>
        <v/>
      </c>
      <c r="S25" s="22">
        <f>S9+S11*S8</f>
        <v/>
      </c>
      <c r="T25" s="22">
        <f>T9+T11*T8</f>
        <v/>
      </c>
      <c r="U25" s="22">
        <f>U9+U11*U8</f>
        <v/>
      </c>
      <c r="V25" s="22">
        <f>V9+V11*V8</f>
        <v/>
      </c>
      <c r="W25" s="22">
        <f>W9+W11*W8</f>
        <v/>
      </c>
      <c r="X25" s="22">
        <f>X9+X11*X8</f>
        <v/>
      </c>
      <c r="Y25" s="22">
        <f>Y9+Y11*Y8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Solo-Plan · Szenario Optimistisch · von Hand (24 Monate ab Nov 2026)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</row>
    <row r="2">
      <c r="A2" s="3" t="inlineStr">
        <is>
          <t>Abschlüsse = Minimum aus Vertriebstempo und freien Stunden. Kundenzahlen sind Erwartungswerte.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</row>
    <row r="4">
      <c r="A4" s="4" t="inlineStr">
        <is>
          <t>Monat</t>
        </is>
      </c>
      <c r="B4" s="4" t="inlineStr">
        <is>
          <t>Nov 26</t>
        </is>
      </c>
      <c r="C4" s="4" t="inlineStr">
        <is>
          <t>Dez 26</t>
        </is>
      </c>
      <c r="D4" s="4" t="inlineStr">
        <is>
          <t>Jan 27</t>
        </is>
      </c>
      <c r="E4" s="4" t="inlineStr">
        <is>
          <t>Feb 27</t>
        </is>
      </c>
      <c r="F4" s="4" t="inlineStr">
        <is>
          <t>Mär 27</t>
        </is>
      </c>
      <c r="G4" s="4" t="inlineStr">
        <is>
          <t>Apr 27</t>
        </is>
      </c>
      <c r="H4" s="4" t="inlineStr">
        <is>
          <t>Mai 27</t>
        </is>
      </c>
      <c r="I4" s="4" t="inlineStr">
        <is>
          <t>Jun 27</t>
        </is>
      </c>
      <c r="J4" s="4" t="inlineStr">
        <is>
          <t>Jul 27</t>
        </is>
      </c>
      <c r="K4" s="4" t="inlineStr">
        <is>
          <t>Aug 27</t>
        </is>
      </c>
      <c r="L4" s="4" t="inlineStr">
        <is>
          <t>Sep 27</t>
        </is>
      </c>
      <c r="M4" s="4" t="inlineStr">
        <is>
          <t>Okt 27</t>
        </is>
      </c>
      <c r="N4" s="4" t="inlineStr">
        <is>
          <t>Nov 27</t>
        </is>
      </c>
      <c r="O4" s="4" t="inlineStr">
        <is>
          <t>Dez 27</t>
        </is>
      </c>
      <c r="P4" s="4" t="inlineStr">
        <is>
          <t>Jan 28</t>
        </is>
      </c>
      <c r="Q4" s="4" t="inlineStr">
        <is>
          <t>Feb 28</t>
        </is>
      </c>
      <c r="R4" s="4" t="inlineStr">
        <is>
          <t>Mär 28</t>
        </is>
      </c>
      <c r="S4" s="4" t="inlineStr">
        <is>
          <t>Apr 28</t>
        </is>
      </c>
      <c r="T4" s="4" t="inlineStr">
        <is>
          <t>Mai 28</t>
        </is>
      </c>
      <c r="U4" s="4" t="inlineStr">
        <is>
          <t>Jun 28</t>
        </is>
      </c>
      <c r="V4" s="4" t="inlineStr">
        <is>
          <t>Jul 28</t>
        </is>
      </c>
      <c r="W4" s="4" t="inlineStr">
        <is>
          <t>Aug 28</t>
        </is>
      </c>
      <c r="X4" s="4" t="inlineStr">
        <is>
          <t>Sep 28</t>
        </is>
      </c>
      <c r="Y4" s="4" t="inlineStr">
        <is>
          <t>Okt 28</t>
        </is>
      </c>
    </row>
    <row r="5">
      <c r="A5" s="5" t="inlineStr">
        <is>
          <t>Abschluss-Ziel (Vertrieb)</t>
        </is>
      </c>
      <c r="B5" s="22">
        <f>Annahmen!$D$48</f>
        <v/>
      </c>
      <c r="C5" s="22">
        <f>Annahmen!$D$48</f>
        <v/>
      </c>
      <c r="D5" s="22">
        <f>Annahmen!$D$49</f>
        <v/>
      </c>
      <c r="E5" s="22">
        <f>Annahmen!$D$49</f>
        <v/>
      </c>
      <c r="F5" s="22">
        <f>Annahmen!$D$49</f>
        <v/>
      </c>
      <c r="G5" s="22">
        <f>Annahmen!$D$49</f>
        <v/>
      </c>
      <c r="H5" s="22">
        <f>Annahmen!$D$49</f>
        <v/>
      </c>
      <c r="I5" s="22">
        <f>Annahmen!$D$49</f>
        <v/>
      </c>
      <c r="J5" s="22">
        <f>Annahmen!$D$49</f>
        <v/>
      </c>
      <c r="K5" s="22">
        <f>Annahmen!$D$49</f>
        <v/>
      </c>
      <c r="L5" s="22">
        <f>Annahmen!$D$49</f>
        <v/>
      </c>
      <c r="M5" s="22">
        <f>Annahmen!$D$49</f>
        <v/>
      </c>
      <c r="N5" s="22">
        <f>Annahmen!$D$49</f>
        <v/>
      </c>
      <c r="O5" s="22">
        <f>Annahmen!$D$49</f>
        <v/>
      </c>
      <c r="P5" s="22">
        <f>Annahmen!$D$49</f>
        <v/>
      </c>
      <c r="Q5" s="22">
        <f>Annahmen!$D$49</f>
        <v/>
      </c>
      <c r="R5" s="22">
        <f>Annahmen!$D$49</f>
        <v/>
      </c>
      <c r="S5" s="22">
        <f>Annahmen!$D$49</f>
        <v/>
      </c>
      <c r="T5" s="22">
        <f>Annahmen!$D$49</f>
        <v/>
      </c>
      <c r="U5" s="22">
        <f>Annahmen!$D$49</f>
        <v/>
      </c>
      <c r="V5" s="22">
        <f>Annahmen!$D$49</f>
        <v/>
      </c>
      <c r="W5" s="22">
        <f>Annahmen!$D$49</f>
        <v/>
      </c>
      <c r="X5" s="22">
        <f>Annahmen!$D$49</f>
        <v/>
      </c>
      <c r="Y5" s="22">
        <f>Annahmen!$D$49</f>
        <v/>
      </c>
    </row>
    <row r="6">
      <c r="A6" s="5" t="inlineStr">
        <is>
          <t>Recruiting im Verkauf (1 = ja)</t>
        </is>
      </c>
      <c r="B6" s="23">
        <f>IF(1&gt;=Annahmen!$B$16,1,0)</f>
        <v/>
      </c>
      <c r="C6" s="23">
        <f>IF(2&gt;=Annahmen!$B$16,1,0)</f>
        <v/>
      </c>
      <c r="D6" s="23">
        <f>IF(3&gt;=Annahmen!$B$16,1,0)</f>
        <v/>
      </c>
      <c r="E6" s="23">
        <f>IF(4&gt;=Annahmen!$B$16,1,0)</f>
        <v/>
      </c>
      <c r="F6" s="23">
        <f>IF(5&gt;=Annahmen!$B$16,1,0)</f>
        <v/>
      </c>
      <c r="G6" s="23">
        <f>IF(6&gt;=Annahmen!$B$16,1,0)</f>
        <v/>
      </c>
      <c r="H6" s="23">
        <f>IF(7&gt;=Annahmen!$B$16,1,0)</f>
        <v/>
      </c>
      <c r="I6" s="23">
        <f>IF(8&gt;=Annahmen!$B$16,1,0)</f>
        <v/>
      </c>
      <c r="J6" s="23">
        <f>IF(9&gt;=Annahmen!$B$16,1,0)</f>
        <v/>
      </c>
      <c r="K6" s="23">
        <f>IF(10&gt;=Annahmen!$B$16,1,0)</f>
        <v/>
      </c>
      <c r="L6" s="23">
        <f>IF(11&gt;=Annahmen!$B$16,1,0)</f>
        <v/>
      </c>
      <c r="M6" s="23">
        <f>IF(12&gt;=Annahmen!$B$16,1,0)</f>
        <v/>
      </c>
      <c r="N6" s="23">
        <f>IF(13&gt;=Annahmen!$B$16,1,0)</f>
        <v/>
      </c>
      <c r="O6" s="23">
        <f>IF(14&gt;=Annahmen!$B$16,1,0)</f>
        <v/>
      </c>
      <c r="P6" s="23">
        <f>IF(15&gt;=Annahmen!$B$16,1,0)</f>
        <v/>
      </c>
      <c r="Q6" s="23">
        <f>IF(16&gt;=Annahmen!$B$16,1,0)</f>
        <v/>
      </c>
      <c r="R6" s="23">
        <f>IF(17&gt;=Annahmen!$B$16,1,0)</f>
        <v/>
      </c>
      <c r="S6" s="23">
        <f>IF(18&gt;=Annahmen!$B$16,1,0)</f>
        <v/>
      </c>
      <c r="T6" s="23">
        <f>IF(19&gt;=Annahmen!$B$16,1,0)</f>
        <v/>
      </c>
      <c r="U6" s="23">
        <f>IF(20&gt;=Annahmen!$B$16,1,0)</f>
        <v/>
      </c>
      <c r="V6" s="23">
        <f>IF(21&gt;=Annahmen!$B$16,1,0)</f>
        <v/>
      </c>
      <c r="W6" s="23">
        <f>IF(22&gt;=Annahmen!$B$16,1,0)</f>
        <v/>
      </c>
      <c r="X6" s="23">
        <f>IF(23&gt;=Annahmen!$B$16,1,0)</f>
        <v/>
      </c>
      <c r="Y6" s="23">
        <f>IF(24&gt;=Annahmen!$B$16,1,0)</f>
        <v/>
      </c>
    </row>
    <row r="7">
      <c r="A7" s="5" t="inlineStr">
        <is>
          <t>Automatisierung aktiv (1 = ja)</t>
        </is>
      </c>
      <c r="B7" s="23">
        <f>0</f>
        <v/>
      </c>
      <c r="C7" s="23">
        <f>0</f>
        <v/>
      </c>
      <c r="D7" s="23">
        <f>0</f>
        <v/>
      </c>
      <c r="E7" s="23">
        <f>0</f>
        <v/>
      </c>
      <c r="F7" s="23">
        <f>0</f>
        <v/>
      </c>
      <c r="G7" s="23">
        <f>0</f>
        <v/>
      </c>
      <c r="H7" s="23">
        <f>0</f>
        <v/>
      </c>
      <c r="I7" s="23">
        <f>0</f>
        <v/>
      </c>
      <c r="J7" s="23">
        <f>0</f>
        <v/>
      </c>
      <c r="K7" s="23">
        <f>0</f>
        <v/>
      </c>
      <c r="L7" s="23">
        <f>0</f>
        <v/>
      </c>
      <c r="M7" s="23">
        <f>0</f>
        <v/>
      </c>
      <c r="N7" s="23">
        <f>0</f>
        <v/>
      </c>
      <c r="O7" s="23">
        <f>0</f>
        <v/>
      </c>
      <c r="P7" s="23">
        <f>0</f>
        <v/>
      </c>
      <c r="Q7" s="23">
        <f>0</f>
        <v/>
      </c>
      <c r="R7" s="23">
        <f>0</f>
        <v/>
      </c>
      <c r="S7" s="23">
        <f>0</f>
        <v/>
      </c>
      <c r="T7" s="23">
        <f>0</f>
        <v/>
      </c>
      <c r="U7" s="23">
        <f>0</f>
        <v/>
      </c>
      <c r="V7" s="23">
        <f>0</f>
        <v/>
      </c>
      <c r="W7" s="23">
        <f>0</f>
        <v/>
      </c>
      <c r="X7" s="23">
        <f>0</f>
        <v/>
      </c>
      <c r="Y7" s="23">
        <f>0</f>
        <v/>
      </c>
    </row>
    <row r="8">
      <c r="A8" s="5" t="inlineStr">
        <is>
          <t>Std. je neuem Abschluss</t>
        </is>
      </c>
      <c r="B8" s="22">
        <f>Annahmen!$B$12/(1-Annahmen!$B$15*(1-B6))*((Annahmen!$B$21+B7*(Annahmen!$B$30-Annahmen!$B$21))+(Annahmen!$B$25+B7*(Annahmen!$B$34-Annahmen!$B$25))+(Annahmen!$B$29+B7*(Annahmen!$B$38-Annahmen!$B$29)))+Annahmen!$B$13/(1-Annahmen!$B$15*(1-B6))*((Annahmen!$B$22+B7*(Annahmen!$B$31-Annahmen!$B$22))+(Annahmen!$B$26+B7*(Annahmen!$B$35-Annahmen!$B$26))+(Annahmen!$B$29+B7*(Annahmen!$B$38-Annahmen!$B$29)))+Annahmen!$B$14/(1-Annahmen!$B$15*(1-B6))*((Annahmen!$B$23+B7*(Annahmen!$B$32-Annahmen!$B$23))+(Annahmen!$B$27+B7*(Annahmen!$B$36-Annahmen!$B$27))+(Annahmen!$B$29+B7*(Annahmen!$B$38-Annahmen!$B$29)))+Annahmen!$B$15*B6*((Annahmen!$B$24+B7*(Annahmen!$B$33-Annahmen!$B$24))+(Annahmen!$B$28+B7*(Annahmen!$B$37-Annahmen!$B$28))+(Annahmen!$B$29+B7*(Annahmen!$B$38-Annahmen!$B$29)))</f>
        <v/>
      </c>
      <c r="C8" s="22">
        <f>Annahmen!$B$12/(1-Annahmen!$B$15*(1-C6))*((Annahmen!$B$21+C7*(Annahmen!$B$30-Annahmen!$B$21))+(Annahmen!$B$25+C7*(Annahmen!$B$34-Annahmen!$B$25))+(Annahmen!$B$29+C7*(Annahmen!$B$38-Annahmen!$B$29)))+Annahmen!$B$13/(1-Annahmen!$B$15*(1-C6))*((Annahmen!$B$22+C7*(Annahmen!$B$31-Annahmen!$B$22))+(Annahmen!$B$26+C7*(Annahmen!$B$35-Annahmen!$B$26))+(Annahmen!$B$29+C7*(Annahmen!$B$38-Annahmen!$B$29)))+Annahmen!$B$14/(1-Annahmen!$B$15*(1-C6))*((Annahmen!$B$23+C7*(Annahmen!$B$32-Annahmen!$B$23))+(Annahmen!$B$27+C7*(Annahmen!$B$36-Annahmen!$B$27))+(Annahmen!$B$29+C7*(Annahmen!$B$38-Annahmen!$B$29)))+Annahmen!$B$15*C6*((Annahmen!$B$24+C7*(Annahmen!$B$33-Annahmen!$B$24))+(Annahmen!$B$28+C7*(Annahmen!$B$37-Annahmen!$B$28))+(Annahmen!$B$29+C7*(Annahmen!$B$38-Annahmen!$B$29)))</f>
        <v/>
      </c>
      <c r="D8" s="22">
        <f>Annahmen!$B$12/(1-Annahmen!$B$15*(1-D6))*((Annahmen!$B$21+D7*(Annahmen!$B$30-Annahmen!$B$21))+(Annahmen!$B$25+D7*(Annahmen!$B$34-Annahmen!$B$25))+(Annahmen!$B$29+D7*(Annahmen!$B$38-Annahmen!$B$29)))+Annahmen!$B$13/(1-Annahmen!$B$15*(1-D6))*((Annahmen!$B$22+D7*(Annahmen!$B$31-Annahmen!$B$22))+(Annahmen!$B$26+D7*(Annahmen!$B$35-Annahmen!$B$26))+(Annahmen!$B$29+D7*(Annahmen!$B$38-Annahmen!$B$29)))+Annahmen!$B$14/(1-Annahmen!$B$15*(1-D6))*((Annahmen!$B$23+D7*(Annahmen!$B$32-Annahmen!$B$23))+(Annahmen!$B$27+D7*(Annahmen!$B$36-Annahmen!$B$27))+(Annahmen!$B$29+D7*(Annahmen!$B$38-Annahmen!$B$29)))+Annahmen!$B$15*D6*((Annahmen!$B$24+D7*(Annahmen!$B$33-Annahmen!$B$24))+(Annahmen!$B$28+D7*(Annahmen!$B$37-Annahmen!$B$28))+(Annahmen!$B$29+D7*(Annahmen!$B$38-Annahmen!$B$29)))</f>
        <v/>
      </c>
      <c r="E8" s="22">
        <f>Annahmen!$B$12/(1-Annahmen!$B$15*(1-E6))*((Annahmen!$B$21+E7*(Annahmen!$B$30-Annahmen!$B$21))+(Annahmen!$B$25+E7*(Annahmen!$B$34-Annahmen!$B$25))+(Annahmen!$B$29+E7*(Annahmen!$B$38-Annahmen!$B$29)))+Annahmen!$B$13/(1-Annahmen!$B$15*(1-E6))*((Annahmen!$B$22+E7*(Annahmen!$B$31-Annahmen!$B$22))+(Annahmen!$B$26+E7*(Annahmen!$B$35-Annahmen!$B$26))+(Annahmen!$B$29+E7*(Annahmen!$B$38-Annahmen!$B$29)))+Annahmen!$B$14/(1-Annahmen!$B$15*(1-E6))*((Annahmen!$B$23+E7*(Annahmen!$B$32-Annahmen!$B$23))+(Annahmen!$B$27+E7*(Annahmen!$B$36-Annahmen!$B$27))+(Annahmen!$B$29+E7*(Annahmen!$B$38-Annahmen!$B$29)))+Annahmen!$B$15*E6*((Annahmen!$B$24+E7*(Annahmen!$B$33-Annahmen!$B$24))+(Annahmen!$B$28+E7*(Annahmen!$B$37-Annahmen!$B$28))+(Annahmen!$B$29+E7*(Annahmen!$B$38-Annahmen!$B$29)))</f>
        <v/>
      </c>
      <c r="F8" s="22">
        <f>Annahmen!$B$12/(1-Annahmen!$B$15*(1-F6))*((Annahmen!$B$21+F7*(Annahmen!$B$30-Annahmen!$B$21))+(Annahmen!$B$25+F7*(Annahmen!$B$34-Annahmen!$B$25))+(Annahmen!$B$29+F7*(Annahmen!$B$38-Annahmen!$B$29)))+Annahmen!$B$13/(1-Annahmen!$B$15*(1-F6))*((Annahmen!$B$22+F7*(Annahmen!$B$31-Annahmen!$B$22))+(Annahmen!$B$26+F7*(Annahmen!$B$35-Annahmen!$B$26))+(Annahmen!$B$29+F7*(Annahmen!$B$38-Annahmen!$B$29)))+Annahmen!$B$14/(1-Annahmen!$B$15*(1-F6))*((Annahmen!$B$23+F7*(Annahmen!$B$32-Annahmen!$B$23))+(Annahmen!$B$27+F7*(Annahmen!$B$36-Annahmen!$B$27))+(Annahmen!$B$29+F7*(Annahmen!$B$38-Annahmen!$B$29)))+Annahmen!$B$15*F6*((Annahmen!$B$24+F7*(Annahmen!$B$33-Annahmen!$B$24))+(Annahmen!$B$28+F7*(Annahmen!$B$37-Annahmen!$B$28))+(Annahmen!$B$29+F7*(Annahmen!$B$38-Annahmen!$B$29)))</f>
        <v/>
      </c>
      <c r="G8" s="22">
        <f>Annahmen!$B$12/(1-Annahmen!$B$15*(1-G6))*((Annahmen!$B$21+G7*(Annahmen!$B$30-Annahmen!$B$21))+(Annahmen!$B$25+G7*(Annahmen!$B$34-Annahmen!$B$25))+(Annahmen!$B$29+G7*(Annahmen!$B$38-Annahmen!$B$29)))+Annahmen!$B$13/(1-Annahmen!$B$15*(1-G6))*((Annahmen!$B$22+G7*(Annahmen!$B$31-Annahmen!$B$22))+(Annahmen!$B$26+G7*(Annahmen!$B$35-Annahmen!$B$26))+(Annahmen!$B$29+G7*(Annahmen!$B$38-Annahmen!$B$29)))+Annahmen!$B$14/(1-Annahmen!$B$15*(1-G6))*((Annahmen!$B$23+G7*(Annahmen!$B$32-Annahmen!$B$23))+(Annahmen!$B$27+G7*(Annahmen!$B$36-Annahmen!$B$27))+(Annahmen!$B$29+G7*(Annahmen!$B$38-Annahmen!$B$29)))+Annahmen!$B$15*G6*((Annahmen!$B$24+G7*(Annahmen!$B$33-Annahmen!$B$24))+(Annahmen!$B$28+G7*(Annahmen!$B$37-Annahmen!$B$28))+(Annahmen!$B$29+G7*(Annahmen!$B$38-Annahmen!$B$29)))</f>
        <v/>
      </c>
      <c r="H8" s="22">
        <f>Annahmen!$B$12/(1-Annahmen!$B$15*(1-H6))*((Annahmen!$B$21+H7*(Annahmen!$B$30-Annahmen!$B$21))+(Annahmen!$B$25+H7*(Annahmen!$B$34-Annahmen!$B$25))+(Annahmen!$B$29+H7*(Annahmen!$B$38-Annahmen!$B$29)))+Annahmen!$B$13/(1-Annahmen!$B$15*(1-H6))*((Annahmen!$B$22+H7*(Annahmen!$B$31-Annahmen!$B$22))+(Annahmen!$B$26+H7*(Annahmen!$B$35-Annahmen!$B$26))+(Annahmen!$B$29+H7*(Annahmen!$B$38-Annahmen!$B$29)))+Annahmen!$B$14/(1-Annahmen!$B$15*(1-H6))*((Annahmen!$B$23+H7*(Annahmen!$B$32-Annahmen!$B$23))+(Annahmen!$B$27+H7*(Annahmen!$B$36-Annahmen!$B$27))+(Annahmen!$B$29+H7*(Annahmen!$B$38-Annahmen!$B$29)))+Annahmen!$B$15*H6*((Annahmen!$B$24+H7*(Annahmen!$B$33-Annahmen!$B$24))+(Annahmen!$B$28+H7*(Annahmen!$B$37-Annahmen!$B$28))+(Annahmen!$B$29+H7*(Annahmen!$B$38-Annahmen!$B$29)))</f>
        <v/>
      </c>
      <c r="I8" s="22">
        <f>Annahmen!$B$12/(1-Annahmen!$B$15*(1-I6))*((Annahmen!$B$21+I7*(Annahmen!$B$30-Annahmen!$B$21))+(Annahmen!$B$25+I7*(Annahmen!$B$34-Annahmen!$B$25))+(Annahmen!$B$29+I7*(Annahmen!$B$38-Annahmen!$B$29)))+Annahmen!$B$13/(1-Annahmen!$B$15*(1-I6))*((Annahmen!$B$22+I7*(Annahmen!$B$31-Annahmen!$B$22))+(Annahmen!$B$26+I7*(Annahmen!$B$35-Annahmen!$B$26))+(Annahmen!$B$29+I7*(Annahmen!$B$38-Annahmen!$B$29)))+Annahmen!$B$14/(1-Annahmen!$B$15*(1-I6))*((Annahmen!$B$23+I7*(Annahmen!$B$32-Annahmen!$B$23))+(Annahmen!$B$27+I7*(Annahmen!$B$36-Annahmen!$B$27))+(Annahmen!$B$29+I7*(Annahmen!$B$38-Annahmen!$B$29)))+Annahmen!$B$15*I6*((Annahmen!$B$24+I7*(Annahmen!$B$33-Annahmen!$B$24))+(Annahmen!$B$28+I7*(Annahmen!$B$37-Annahmen!$B$28))+(Annahmen!$B$29+I7*(Annahmen!$B$38-Annahmen!$B$29)))</f>
        <v/>
      </c>
      <c r="J8" s="22">
        <f>Annahmen!$B$12/(1-Annahmen!$B$15*(1-J6))*((Annahmen!$B$21+J7*(Annahmen!$B$30-Annahmen!$B$21))+(Annahmen!$B$25+J7*(Annahmen!$B$34-Annahmen!$B$25))+(Annahmen!$B$29+J7*(Annahmen!$B$38-Annahmen!$B$29)))+Annahmen!$B$13/(1-Annahmen!$B$15*(1-J6))*((Annahmen!$B$22+J7*(Annahmen!$B$31-Annahmen!$B$22))+(Annahmen!$B$26+J7*(Annahmen!$B$35-Annahmen!$B$26))+(Annahmen!$B$29+J7*(Annahmen!$B$38-Annahmen!$B$29)))+Annahmen!$B$14/(1-Annahmen!$B$15*(1-J6))*((Annahmen!$B$23+J7*(Annahmen!$B$32-Annahmen!$B$23))+(Annahmen!$B$27+J7*(Annahmen!$B$36-Annahmen!$B$27))+(Annahmen!$B$29+J7*(Annahmen!$B$38-Annahmen!$B$29)))+Annahmen!$B$15*J6*((Annahmen!$B$24+J7*(Annahmen!$B$33-Annahmen!$B$24))+(Annahmen!$B$28+J7*(Annahmen!$B$37-Annahmen!$B$28))+(Annahmen!$B$29+J7*(Annahmen!$B$38-Annahmen!$B$29)))</f>
        <v/>
      </c>
      <c r="K8" s="22">
        <f>Annahmen!$B$12/(1-Annahmen!$B$15*(1-K6))*((Annahmen!$B$21+K7*(Annahmen!$B$30-Annahmen!$B$21))+(Annahmen!$B$25+K7*(Annahmen!$B$34-Annahmen!$B$25))+(Annahmen!$B$29+K7*(Annahmen!$B$38-Annahmen!$B$29)))+Annahmen!$B$13/(1-Annahmen!$B$15*(1-K6))*((Annahmen!$B$22+K7*(Annahmen!$B$31-Annahmen!$B$22))+(Annahmen!$B$26+K7*(Annahmen!$B$35-Annahmen!$B$26))+(Annahmen!$B$29+K7*(Annahmen!$B$38-Annahmen!$B$29)))+Annahmen!$B$14/(1-Annahmen!$B$15*(1-K6))*((Annahmen!$B$23+K7*(Annahmen!$B$32-Annahmen!$B$23))+(Annahmen!$B$27+K7*(Annahmen!$B$36-Annahmen!$B$27))+(Annahmen!$B$29+K7*(Annahmen!$B$38-Annahmen!$B$29)))+Annahmen!$B$15*K6*((Annahmen!$B$24+K7*(Annahmen!$B$33-Annahmen!$B$24))+(Annahmen!$B$28+K7*(Annahmen!$B$37-Annahmen!$B$28))+(Annahmen!$B$29+K7*(Annahmen!$B$38-Annahmen!$B$29)))</f>
        <v/>
      </c>
      <c r="L8" s="22">
        <f>Annahmen!$B$12/(1-Annahmen!$B$15*(1-L6))*((Annahmen!$B$21+L7*(Annahmen!$B$30-Annahmen!$B$21))+(Annahmen!$B$25+L7*(Annahmen!$B$34-Annahmen!$B$25))+(Annahmen!$B$29+L7*(Annahmen!$B$38-Annahmen!$B$29)))+Annahmen!$B$13/(1-Annahmen!$B$15*(1-L6))*((Annahmen!$B$22+L7*(Annahmen!$B$31-Annahmen!$B$22))+(Annahmen!$B$26+L7*(Annahmen!$B$35-Annahmen!$B$26))+(Annahmen!$B$29+L7*(Annahmen!$B$38-Annahmen!$B$29)))+Annahmen!$B$14/(1-Annahmen!$B$15*(1-L6))*((Annahmen!$B$23+L7*(Annahmen!$B$32-Annahmen!$B$23))+(Annahmen!$B$27+L7*(Annahmen!$B$36-Annahmen!$B$27))+(Annahmen!$B$29+L7*(Annahmen!$B$38-Annahmen!$B$29)))+Annahmen!$B$15*L6*((Annahmen!$B$24+L7*(Annahmen!$B$33-Annahmen!$B$24))+(Annahmen!$B$28+L7*(Annahmen!$B$37-Annahmen!$B$28))+(Annahmen!$B$29+L7*(Annahmen!$B$38-Annahmen!$B$29)))</f>
        <v/>
      </c>
      <c r="M8" s="22">
        <f>Annahmen!$B$12/(1-Annahmen!$B$15*(1-M6))*((Annahmen!$B$21+M7*(Annahmen!$B$30-Annahmen!$B$21))+(Annahmen!$B$25+M7*(Annahmen!$B$34-Annahmen!$B$25))+(Annahmen!$B$29+M7*(Annahmen!$B$38-Annahmen!$B$29)))+Annahmen!$B$13/(1-Annahmen!$B$15*(1-M6))*((Annahmen!$B$22+M7*(Annahmen!$B$31-Annahmen!$B$22))+(Annahmen!$B$26+M7*(Annahmen!$B$35-Annahmen!$B$26))+(Annahmen!$B$29+M7*(Annahmen!$B$38-Annahmen!$B$29)))+Annahmen!$B$14/(1-Annahmen!$B$15*(1-M6))*((Annahmen!$B$23+M7*(Annahmen!$B$32-Annahmen!$B$23))+(Annahmen!$B$27+M7*(Annahmen!$B$36-Annahmen!$B$27))+(Annahmen!$B$29+M7*(Annahmen!$B$38-Annahmen!$B$29)))+Annahmen!$B$15*M6*((Annahmen!$B$24+M7*(Annahmen!$B$33-Annahmen!$B$24))+(Annahmen!$B$28+M7*(Annahmen!$B$37-Annahmen!$B$28))+(Annahmen!$B$29+M7*(Annahmen!$B$38-Annahmen!$B$29)))</f>
        <v/>
      </c>
      <c r="N8" s="22">
        <f>Annahmen!$B$12/(1-Annahmen!$B$15*(1-N6))*((Annahmen!$B$21+N7*(Annahmen!$B$30-Annahmen!$B$21))+(Annahmen!$B$25+N7*(Annahmen!$B$34-Annahmen!$B$25))+(Annahmen!$B$29+N7*(Annahmen!$B$38-Annahmen!$B$29)))+Annahmen!$B$13/(1-Annahmen!$B$15*(1-N6))*((Annahmen!$B$22+N7*(Annahmen!$B$31-Annahmen!$B$22))+(Annahmen!$B$26+N7*(Annahmen!$B$35-Annahmen!$B$26))+(Annahmen!$B$29+N7*(Annahmen!$B$38-Annahmen!$B$29)))+Annahmen!$B$14/(1-Annahmen!$B$15*(1-N6))*((Annahmen!$B$23+N7*(Annahmen!$B$32-Annahmen!$B$23))+(Annahmen!$B$27+N7*(Annahmen!$B$36-Annahmen!$B$27))+(Annahmen!$B$29+N7*(Annahmen!$B$38-Annahmen!$B$29)))+Annahmen!$B$15*N6*((Annahmen!$B$24+N7*(Annahmen!$B$33-Annahmen!$B$24))+(Annahmen!$B$28+N7*(Annahmen!$B$37-Annahmen!$B$28))+(Annahmen!$B$29+N7*(Annahmen!$B$38-Annahmen!$B$29)))</f>
        <v/>
      </c>
      <c r="O8" s="22">
        <f>Annahmen!$B$12/(1-Annahmen!$B$15*(1-O6))*((Annahmen!$B$21+O7*(Annahmen!$B$30-Annahmen!$B$21))+(Annahmen!$B$25+O7*(Annahmen!$B$34-Annahmen!$B$25))+(Annahmen!$B$29+O7*(Annahmen!$B$38-Annahmen!$B$29)))+Annahmen!$B$13/(1-Annahmen!$B$15*(1-O6))*((Annahmen!$B$22+O7*(Annahmen!$B$31-Annahmen!$B$22))+(Annahmen!$B$26+O7*(Annahmen!$B$35-Annahmen!$B$26))+(Annahmen!$B$29+O7*(Annahmen!$B$38-Annahmen!$B$29)))+Annahmen!$B$14/(1-Annahmen!$B$15*(1-O6))*((Annahmen!$B$23+O7*(Annahmen!$B$32-Annahmen!$B$23))+(Annahmen!$B$27+O7*(Annahmen!$B$36-Annahmen!$B$27))+(Annahmen!$B$29+O7*(Annahmen!$B$38-Annahmen!$B$29)))+Annahmen!$B$15*O6*((Annahmen!$B$24+O7*(Annahmen!$B$33-Annahmen!$B$24))+(Annahmen!$B$28+O7*(Annahmen!$B$37-Annahmen!$B$28))+(Annahmen!$B$29+O7*(Annahmen!$B$38-Annahmen!$B$29)))</f>
        <v/>
      </c>
      <c r="P8" s="22">
        <f>Annahmen!$B$12/(1-Annahmen!$B$15*(1-P6))*((Annahmen!$B$21+P7*(Annahmen!$B$30-Annahmen!$B$21))+(Annahmen!$B$25+P7*(Annahmen!$B$34-Annahmen!$B$25))+(Annahmen!$B$29+P7*(Annahmen!$B$38-Annahmen!$B$29)))+Annahmen!$B$13/(1-Annahmen!$B$15*(1-P6))*((Annahmen!$B$22+P7*(Annahmen!$B$31-Annahmen!$B$22))+(Annahmen!$B$26+P7*(Annahmen!$B$35-Annahmen!$B$26))+(Annahmen!$B$29+P7*(Annahmen!$B$38-Annahmen!$B$29)))+Annahmen!$B$14/(1-Annahmen!$B$15*(1-P6))*((Annahmen!$B$23+P7*(Annahmen!$B$32-Annahmen!$B$23))+(Annahmen!$B$27+P7*(Annahmen!$B$36-Annahmen!$B$27))+(Annahmen!$B$29+P7*(Annahmen!$B$38-Annahmen!$B$29)))+Annahmen!$B$15*P6*((Annahmen!$B$24+P7*(Annahmen!$B$33-Annahmen!$B$24))+(Annahmen!$B$28+P7*(Annahmen!$B$37-Annahmen!$B$28))+(Annahmen!$B$29+P7*(Annahmen!$B$38-Annahmen!$B$29)))</f>
        <v/>
      </c>
      <c r="Q8" s="22">
        <f>Annahmen!$B$12/(1-Annahmen!$B$15*(1-Q6))*((Annahmen!$B$21+Q7*(Annahmen!$B$30-Annahmen!$B$21))+(Annahmen!$B$25+Q7*(Annahmen!$B$34-Annahmen!$B$25))+(Annahmen!$B$29+Q7*(Annahmen!$B$38-Annahmen!$B$29)))+Annahmen!$B$13/(1-Annahmen!$B$15*(1-Q6))*((Annahmen!$B$22+Q7*(Annahmen!$B$31-Annahmen!$B$22))+(Annahmen!$B$26+Q7*(Annahmen!$B$35-Annahmen!$B$26))+(Annahmen!$B$29+Q7*(Annahmen!$B$38-Annahmen!$B$29)))+Annahmen!$B$14/(1-Annahmen!$B$15*(1-Q6))*((Annahmen!$B$23+Q7*(Annahmen!$B$32-Annahmen!$B$23))+(Annahmen!$B$27+Q7*(Annahmen!$B$36-Annahmen!$B$27))+(Annahmen!$B$29+Q7*(Annahmen!$B$38-Annahmen!$B$29)))+Annahmen!$B$15*Q6*((Annahmen!$B$24+Q7*(Annahmen!$B$33-Annahmen!$B$24))+(Annahmen!$B$28+Q7*(Annahmen!$B$37-Annahmen!$B$28))+(Annahmen!$B$29+Q7*(Annahmen!$B$38-Annahmen!$B$29)))</f>
        <v/>
      </c>
      <c r="R8" s="22">
        <f>Annahmen!$B$12/(1-Annahmen!$B$15*(1-R6))*((Annahmen!$B$21+R7*(Annahmen!$B$30-Annahmen!$B$21))+(Annahmen!$B$25+R7*(Annahmen!$B$34-Annahmen!$B$25))+(Annahmen!$B$29+R7*(Annahmen!$B$38-Annahmen!$B$29)))+Annahmen!$B$13/(1-Annahmen!$B$15*(1-R6))*((Annahmen!$B$22+R7*(Annahmen!$B$31-Annahmen!$B$22))+(Annahmen!$B$26+R7*(Annahmen!$B$35-Annahmen!$B$26))+(Annahmen!$B$29+R7*(Annahmen!$B$38-Annahmen!$B$29)))+Annahmen!$B$14/(1-Annahmen!$B$15*(1-R6))*((Annahmen!$B$23+R7*(Annahmen!$B$32-Annahmen!$B$23))+(Annahmen!$B$27+R7*(Annahmen!$B$36-Annahmen!$B$27))+(Annahmen!$B$29+R7*(Annahmen!$B$38-Annahmen!$B$29)))+Annahmen!$B$15*R6*((Annahmen!$B$24+R7*(Annahmen!$B$33-Annahmen!$B$24))+(Annahmen!$B$28+R7*(Annahmen!$B$37-Annahmen!$B$28))+(Annahmen!$B$29+R7*(Annahmen!$B$38-Annahmen!$B$29)))</f>
        <v/>
      </c>
      <c r="S8" s="22">
        <f>Annahmen!$B$12/(1-Annahmen!$B$15*(1-S6))*((Annahmen!$B$21+S7*(Annahmen!$B$30-Annahmen!$B$21))+(Annahmen!$B$25+S7*(Annahmen!$B$34-Annahmen!$B$25))+(Annahmen!$B$29+S7*(Annahmen!$B$38-Annahmen!$B$29)))+Annahmen!$B$13/(1-Annahmen!$B$15*(1-S6))*((Annahmen!$B$22+S7*(Annahmen!$B$31-Annahmen!$B$22))+(Annahmen!$B$26+S7*(Annahmen!$B$35-Annahmen!$B$26))+(Annahmen!$B$29+S7*(Annahmen!$B$38-Annahmen!$B$29)))+Annahmen!$B$14/(1-Annahmen!$B$15*(1-S6))*((Annahmen!$B$23+S7*(Annahmen!$B$32-Annahmen!$B$23))+(Annahmen!$B$27+S7*(Annahmen!$B$36-Annahmen!$B$27))+(Annahmen!$B$29+S7*(Annahmen!$B$38-Annahmen!$B$29)))+Annahmen!$B$15*S6*((Annahmen!$B$24+S7*(Annahmen!$B$33-Annahmen!$B$24))+(Annahmen!$B$28+S7*(Annahmen!$B$37-Annahmen!$B$28))+(Annahmen!$B$29+S7*(Annahmen!$B$38-Annahmen!$B$29)))</f>
        <v/>
      </c>
      <c r="T8" s="22">
        <f>Annahmen!$B$12/(1-Annahmen!$B$15*(1-T6))*((Annahmen!$B$21+T7*(Annahmen!$B$30-Annahmen!$B$21))+(Annahmen!$B$25+T7*(Annahmen!$B$34-Annahmen!$B$25))+(Annahmen!$B$29+T7*(Annahmen!$B$38-Annahmen!$B$29)))+Annahmen!$B$13/(1-Annahmen!$B$15*(1-T6))*((Annahmen!$B$22+T7*(Annahmen!$B$31-Annahmen!$B$22))+(Annahmen!$B$26+T7*(Annahmen!$B$35-Annahmen!$B$26))+(Annahmen!$B$29+T7*(Annahmen!$B$38-Annahmen!$B$29)))+Annahmen!$B$14/(1-Annahmen!$B$15*(1-T6))*((Annahmen!$B$23+T7*(Annahmen!$B$32-Annahmen!$B$23))+(Annahmen!$B$27+T7*(Annahmen!$B$36-Annahmen!$B$27))+(Annahmen!$B$29+T7*(Annahmen!$B$38-Annahmen!$B$29)))+Annahmen!$B$15*T6*((Annahmen!$B$24+T7*(Annahmen!$B$33-Annahmen!$B$24))+(Annahmen!$B$28+T7*(Annahmen!$B$37-Annahmen!$B$28))+(Annahmen!$B$29+T7*(Annahmen!$B$38-Annahmen!$B$29)))</f>
        <v/>
      </c>
      <c r="U8" s="22">
        <f>Annahmen!$B$12/(1-Annahmen!$B$15*(1-U6))*((Annahmen!$B$21+U7*(Annahmen!$B$30-Annahmen!$B$21))+(Annahmen!$B$25+U7*(Annahmen!$B$34-Annahmen!$B$25))+(Annahmen!$B$29+U7*(Annahmen!$B$38-Annahmen!$B$29)))+Annahmen!$B$13/(1-Annahmen!$B$15*(1-U6))*((Annahmen!$B$22+U7*(Annahmen!$B$31-Annahmen!$B$22))+(Annahmen!$B$26+U7*(Annahmen!$B$35-Annahmen!$B$26))+(Annahmen!$B$29+U7*(Annahmen!$B$38-Annahmen!$B$29)))+Annahmen!$B$14/(1-Annahmen!$B$15*(1-U6))*((Annahmen!$B$23+U7*(Annahmen!$B$32-Annahmen!$B$23))+(Annahmen!$B$27+U7*(Annahmen!$B$36-Annahmen!$B$27))+(Annahmen!$B$29+U7*(Annahmen!$B$38-Annahmen!$B$29)))+Annahmen!$B$15*U6*((Annahmen!$B$24+U7*(Annahmen!$B$33-Annahmen!$B$24))+(Annahmen!$B$28+U7*(Annahmen!$B$37-Annahmen!$B$28))+(Annahmen!$B$29+U7*(Annahmen!$B$38-Annahmen!$B$29)))</f>
        <v/>
      </c>
      <c r="V8" s="22">
        <f>Annahmen!$B$12/(1-Annahmen!$B$15*(1-V6))*((Annahmen!$B$21+V7*(Annahmen!$B$30-Annahmen!$B$21))+(Annahmen!$B$25+V7*(Annahmen!$B$34-Annahmen!$B$25))+(Annahmen!$B$29+V7*(Annahmen!$B$38-Annahmen!$B$29)))+Annahmen!$B$13/(1-Annahmen!$B$15*(1-V6))*((Annahmen!$B$22+V7*(Annahmen!$B$31-Annahmen!$B$22))+(Annahmen!$B$26+V7*(Annahmen!$B$35-Annahmen!$B$26))+(Annahmen!$B$29+V7*(Annahmen!$B$38-Annahmen!$B$29)))+Annahmen!$B$14/(1-Annahmen!$B$15*(1-V6))*((Annahmen!$B$23+V7*(Annahmen!$B$32-Annahmen!$B$23))+(Annahmen!$B$27+V7*(Annahmen!$B$36-Annahmen!$B$27))+(Annahmen!$B$29+V7*(Annahmen!$B$38-Annahmen!$B$29)))+Annahmen!$B$15*V6*((Annahmen!$B$24+V7*(Annahmen!$B$33-Annahmen!$B$24))+(Annahmen!$B$28+V7*(Annahmen!$B$37-Annahmen!$B$28))+(Annahmen!$B$29+V7*(Annahmen!$B$38-Annahmen!$B$29)))</f>
        <v/>
      </c>
      <c r="W8" s="22">
        <f>Annahmen!$B$12/(1-Annahmen!$B$15*(1-W6))*((Annahmen!$B$21+W7*(Annahmen!$B$30-Annahmen!$B$21))+(Annahmen!$B$25+W7*(Annahmen!$B$34-Annahmen!$B$25))+(Annahmen!$B$29+W7*(Annahmen!$B$38-Annahmen!$B$29)))+Annahmen!$B$13/(1-Annahmen!$B$15*(1-W6))*((Annahmen!$B$22+W7*(Annahmen!$B$31-Annahmen!$B$22))+(Annahmen!$B$26+W7*(Annahmen!$B$35-Annahmen!$B$26))+(Annahmen!$B$29+W7*(Annahmen!$B$38-Annahmen!$B$29)))+Annahmen!$B$14/(1-Annahmen!$B$15*(1-W6))*((Annahmen!$B$23+W7*(Annahmen!$B$32-Annahmen!$B$23))+(Annahmen!$B$27+W7*(Annahmen!$B$36-Annahmen!$B$27))+(Annahmen!$B$29+W7*(Annahmen!$B$38-Annahmen!$B$29)))+Annahmen!$B$15*W6*((Annahmen!$B$24+W7*(Annahmen!$B$33-Annahmen!$B$24))+(Annahmen!$B$28+W7*(Annahmen!$B$37-Annahmen!$B$28))+(Annahmen!$B$29+W7*(Annahmen!$B$38-Annahmen!$B$29)))</f>
        <v/>
      </c>
      <c r="X8" s="22">
        <f>Annahmen!$B$12/(1-Annahmen!$B$15*(1-X6))*((Annahmen!$B$21+X7*(Annahmen!$B$30-Annahmen!$B$21))+(Annahmen!$B$25+X7*(Annahmen!$B$34-Annahmen!$B$25))+(Annahmen!$B$29+X7*(Annahmen!$B$38-Annahmen!$B$29)))+Annahmen!$B$13/(1-Annahmen!$B$15*(1-X6))*((Annahmen!$B$22+X7*(Annahmen!$B$31-Annahmen!$B$22))+(Annahmen!$B$26+X7*(Annahmen!$B$35-Annahmen!$B$26))+(Annahmen!$B$29+X7*(Annahmen!$B$38-Annahmen!$B$29)))+Annahmen!$B$14/(1-Annahmen!$B$15*(1-X6))*((Annahmen!$B$23+X7*(Annahmen!$B$32-Annahmen!$B$23))+(Annahmen!$B$27+X7*(Annahmen!$B$36-Annahmen!$B$27))+(Annahmen!$B$29+X7*(Annahmen!$B$38-Annahmen!$B$29)))+Annahmen!$B$15*X6*((Annahmen!$B$24+X7*(Annahmen!$B$33-Annahmen!$B$24))+(Annahmen!$B$28+X7*(Annahmen!$B$37-Annahmen!$B$28))+(Annahmen!$B$29+X7*(Annahmen!$B$38-Annahmen!$B$29)))</f>
        <v/>
      </c>
      <c r="Y8" s="22">
        <f>Annahmen!$B$12/(1-Annahmen!$B$15*(1-Y6))*((Annahmen!$B$21+Y7*(Annahmen!$B$30-Annahmen!$B$21))+(Annahmen!$B$25+Y7*(Annahmen!$B$34-Annahmen!$B$25))+(Annahmen!$B$29+Y7*(Annahmen!$B$38-Annahmen!$B$29)))+Annahmen!$B$13/(1-Annahmen!$B$15*(1-Y6))*((Annahmen!$B$22+Y7*(Annahmen!$B$31-Annahmen!$B$22))+(Annahmen!$B$26+Y7*(Annahmen!$B$35-Annahmen!$B$26))+(Annahmen!$B$29+Y7*(Annahmen!$B$38-Annahmen!$B$29)))+Annahmen!$B$14/(1-Annahmen!$B$15*(1-Y6))*((Annahmen!$B$23+Y7*(Annahmen!$B$32-Annahmen!$B$23))+(Annahmen!$B$27+Y7*(Annahmen!$B$36-Annahmen!$B$27))+(Annahmen!$B$29+Y7*(Annahmen!$B$38-Annahmen!$B$29)))+Annahmen!$B$15*Y6*((Annahmen!$B$24+Y7*(Annahmen!$B$33-Annahmen!$B$24))+(Annahmen!$B$28+Y7*(Annahmen!$B$37-Annahmen!$B$28))+(Annahmen!$B$29+Y7*(Annahmen!$B$38-Annahmen!$B$29)))</f>
        <v/>
      </c>
    </row>
    <row r="9">
      <c r="A9" s="5" t="inlineStr">
        <is>
          <t>Laufende Stunden (Bestand)</t>
        </is>
      </c>
      <c r="B9" s="22">
        <f>0*(Annahmen!$B$25+B7*(Annahmen!$B$34-Annahmen!$B$25))+0*(Annahmen!$B$26+B7*(Annahmen!$B$35-Annahmen!$B$26))+0*(Annahmen!$B$27+B7*(Annahmen!$B$36-Annahmen!$B$27))+0*(Annahmen!$B$28+B7*(Annahmen!$B$37-Annahmen!$B$28))</f>
        <v/>
      </c>
      <c r="C9" s="22">
        <f>B14*(Annahmen!$B$25+C7*(Annahmen!$B$34-Annahmen!$B$25))+B15*(Annahmen!$B$26+C7*(Annahmen!$B$35-Annahmen!$B$26))+B16*(Annahmen!$B$27+C7*(Annahmen!$B$36-Annahmen!$B$27))+B17*(Annahmen!$B$28+C7*(Annahmen!$B$37-Annahmen!$B$28))</f>
        <v/>
      </c>
      <c r="D9" s="22">
        <f>C14*(Annahmen!$B$25+D7*(Annahmen!$B$34-Annahmen!$B$25))+C15*(Annahmen!$B$26+D7*(Annahmen!$B$35-Annahmen!$B$26))+C16*(Annahmen!$B$27+D7*(Annahmen!$B$36-Annahmen!$B$27))+C17*(Annahmen!$B$28+D7*(Annahmen!$B$37-Annahmen!$B$28))</f>
        <v/>
      </c>
      <c r="E9" s="22">
        <f>D14*(Annahmen!$B$25+E7*(Annahmen!$B$34-Annahmen!$B$25))+D15*(Annahmen!$B$26+E7*(Annahmen!$B$35-Annahmen!$B$26))+D16*(Annahmen!$B$27+E7*(Annahmen!$B$36-Annahmen!$B$27))+D17*(Annahmen!$B$28+E7*(Annahmen!$B$37-Annahmen!$B$28))</f>
        <v/>
      </c>
      <c r="F9" s="22">
        <f>E14*(Annahmen!$B$25+F7*(Annahmen!$B$34-Annahmen!$B$25))+E15*(Annahmen!$B$26+F7*(Annahmen!$B$35-Annahmen!$B$26))+E16*(Annahmen!$B$27+F7*(Annahmen!$B$36-Annahmen!$B$27))+E17*(Annahmen!$B$28+F7*(Annahmen!$B$37-Annahmen!$B$28))</f>
        <v/>
      </c>
      <c r="G9" s="22">
        <f>F14*(Annahmen!$B$25+G7*(Annahmen!$B$34-Annahmen!$B$25))+F15*(Annahmen!$B$26+G7*(Annahmen!$B$35-Annahmen!$B$26))+F16*(Annahmen!$B$27+G7*(Annahmen!$B$36-Annahmen!$B$27))+F17*(Annahmen!$B$28+G7*(Annahmen!$B$37-Annahmen!$B$28))</f>
        <v/>
      </c>
      <c r="H9" s="22">
        <f>G14*(Annahmen!$B$25+H7*(Annahmen!$B$34-Annahmen!$B$25))+G15*(Annahmen!$B$26+H7*(Annahmen!$B$35-Annahmen!$B$26))+G16*(Annahmen!$B$27+H7*(Annahmen!$B$36-Annahmen!$B$27))+G17*(Annahmen!$B$28+H7*(Annahmen!$B$37-Annahmen!$B$28))</f>
        <v/>
      </c>
      <c r="I9" s="22">
        <f>H14*(Annahmen!$B$25+I7*(Annahmen!$B$34-Annahmen!$B$25))+H15*(Annahmen!$B$26+I7*(Annahmen!$B$35-Annahmen!$B$26))+H16*(Annahmen!$B$27+I7*(Annahmen!$B$36-Annahmen!$B$27))+H17*(Annahmen!$B$28+I7*(Annahmen!$B$37-Annahmen!$B$28))</f>
        <v/>
      </c>
      <c r="J9" s="22">
        <f>I14*(Annahmen!$B$25+J7*(Annahmen!$B$34-Annahmen!$B$25))+I15*(Annahmen!$B$26+J7*(Annahmen!$B$35-Annahmen!$B$26))+I16*(Annahmen!$B$27+J7*(Annahmen!$B$36-Annahmen!$B$27))+I17*(Annahmen!$B$28+J7*(Annahmen!$B$37-Annahmen!$B$28))</f>
        <v/>
      </c>
      <c r="K9" s="22">
        <f>J14*(Annahmen!$B$25+K7*(Annahmen!$B$34-Annahmen!$B$25))+J15*(Annahmen!$B$26+K7*(Annahmen!$B$35-Annahmen!$B$26))+J16*(Annahmen!$B$27+K7*(Annahmen!$B$36-Annahmen!$B$27))+J17*(Annahmen!$B$28+K7*(Annahmen!$B$37-Annahmen!$B$28))</f>
        <v/>
      </c>
      <c r="L9" s="22">
        <f>K14*(Annahmen!$B$25+L7*(Annahmen!$B$34-Annahmen!$B$25))+K15*(Annahmen!$B$26+L7*(Annahmen!$B$35-Annahmen!$B$26))+K16*(Annahmen!$B$27+L7*(Annahmen!$B$36-Annahmen!$B$27))+K17*(Annahmen!$B$28+L7*(Annahmen!$B$37-Annahmen!$B$28))</f>
        <v/>
      </c>
      <c r="M9" s="22">
        <f>L14*(Annahmen!$B$25+M7*(Annahmen!$B$34-Annahmen!$B$25))+L15*(Annahmen!$B$26+M7*(Annahmen!$B$35-Annahmen!$B$26))+L16*(Annahmen!$B$27+M7*(Annahmen!$B$36-Annahmen!$B$27))+L17*(Annahmen!$B$28+M7*(Annahmen!$B$37-Annahmen!$B$28))</f>
        <v/>
      </c>
      <c r="N9" s="22">
        <f>M14*(Annahmen!$B$25+N7*(Annahmen!$B$34-Annahmen!$B$25))+M15*(Annahmen!$B$26+N7*(Annahmen!$B$35-Annahmen!$B$26))+M16*(Annahmen!$B$27+N7*(Annahmen!$B$36-Annahmen!$B$27))+M17*(Annahmen!$B$28+N7*(Annahmen!$B$37-Annahmen!$B$28))</f>
        <v/>
      </c>
      <c r="O9" s="22">
        <f>N14*(Annahmen!$B$25+O7*(Annahmen!$B$34-Annahmen!$B$25))+N15*(Annahmen!$B$26+O7*(Annahmen!$B$35-Annahmen!$B$26))+N16*(Annahmen!$B$27+O7*(Annahmen!$B$36-Annahmen!$B$27))+N17*(Annahmen!$B$28+O7*(Annahmen!$B$37-Annahmen!$B$28))</f>
        <v/>
      </c>
      <c r="P9" s="22">
        <f>O14*(Annahmen!$B$25+P7*(Annahmen!$B$34-Annahmen!$B$25))+O15*(Annahmen!$B$26+P7*(Annahmen!$B$35-Annahmen!$B$26))+O16*(Annahmen!$B$27+P7*(Annahmen!$B$36-Annahmen!$B$27))+O17*(Annahmen!$B$28+P7*(Annahmen!$B$37-Annahmen!$B$28))</f>
        <v/>
      </c>
      <c r="Q9" s="22">
        <f>P14*(Annahmen!$B$25+Q7*(Annahmen!$B$34-Annahmen!$B$25))+P15*(Annahmen!$B$26+Q7*(Annahmen!$B$35-Annahmen!$B$26))+P16*(Annahmen!$B$27+Q7*(Annahmen!$B$36-Annahmen!$B$27))+P17*(Annahmen!$B$28+Q7*(Annahmen!$B$37-Annahmen!$B$28))</f>
        <v/>
      </c>
      <c r="R9" s="22">
        <f>Q14*(Annahmen!$B$25+R7*(Annahmen!$B$34-Annahmen!$B$25))+Q15*(Annahmen!$B$26+R7*(Annahmen!$B$35-Annahmen!$B$26))+Q16*(Annahmen!$B$27+R7*(Annahmen!$B$36-Annahmen!$B$27))+Q17*(Annahmen!$B$28+R7*(Annahmen!$B$37-Annahmen!$B$28))</f>
        <v/>
      </c>
      <c r="S9" s="22">
        <f>R14*(Annahmen!$B$25+S7*(Annahmen!$B$34-Annahmen!$B$25))+R15*(Annahmen!$B$26+S7*(Annahmen!$B$35-Annahmen!$B$26))+R16*(Annahmen!$B$27+S7*(Annahmen!$B$36-Annahmen!$B$27))+R17*(Annahmen!$B$28+S7*(Annahmen!$B$37-Annahmen!$B$28))</f>
        <v/>
      </c>
      <c r="T9" s="22">
        <f>S14*(Annahmen!$B$25+T7*(Annahmen!$B$34-Annahmen!$B$25))+S15*(Annahmen!$B$26+T7*(Annahmen!$B$35-Annahmen!$B$26))+S16*(Annahmen!$B$27+T7*(Annahmen!$B$36-Annahmen!$B$27))+S17*(Annahmen!$B$28+T7*(Annahmen!$B$37-Annahmen!$B$28))</f>
        <v/>
      </c>
      <c r="U9" s="22">
        <f>T14*(Annahmen!$B$25+U7*(Annahmen!$B$34-Annahmen!$B$25))+T15*(Annahmen!$B$26+U7*(Annahmen!$B$35-Annahmen!$B$26))+T16*(Annahmen!$B$27+U7*(Annahmen!$B$36-Annahmen!$B$27))+T17*(Annahmen!$B$28+U7*(Annahmen!$B$37-Annahmen!$B$28))</f>
        <v/>
      </c>
      <c r="V9" s="22">
        <f>U14*(Annahmen!$B$25+V7*(Annahmen!$B$34-Annahmen!$B$25))+U15*(Annahmen!$B$26+V7*(Annahmen!$B$35-Annahmen!$B$26))+U16*(Annahmen!$B$27+V7*(Annahmen!$B$36-Annahmen!$B$27))+U17*(Annahmen!$B$28+V7*(Annahmen!$B$37-Annahmen!$B$28))</f>
        <v/>
      </c>
      <c r="W9" s="22">
        <f>V14*(Annahmen!$B$25+W7*(Annahmen!$B$34-Annahmen!$B$25))+V15*(Annahmen!$B$26+W7*(Annahmen!$B$35-Annahmen!$B$26))+V16*(Annahmen!$B$27+W7*(Annahmen!$B$36-Annahmen!$B$27))+V17*(Annahmen!$B$28+W7*(Annahmen!$B$37-Annahmen!$B$28))</f>
        <v/>
      </c>
      <c r="X9" s="22">
        <f>W14*(Annahmen!$B$25+X7*(Annahmen!$B$34-Annahmen!$B$25))+W15*(Annahmen!$B$26+X7*(Annahmen!$B$35-Annahmen!$B$26))+W16*(Annahmen!$B$27+X7*(Annahmen!$B$36-Annahmen!$B$27))+W17*(Annahmen!$B$28+X7*(Annahmen!$B$37-Annahmen!$B$28))</f>
        <v/>
      </c>
      <c r="Y9" s="22">
        <f>X14*(Annahmen!$B$25+Y7*(Annahmen!$B$34-Annahmen!$B$25))+X15*(Annahmen!$B$26+Y7*(Annahmen!$B$35-Annahmen!$B$26))+X16*(Annahmen!$B$27+Y7*(Annahmen!$B$36-Annahmen!$B$27))+X17*(Annahmen!$B$28+Y7*(Annahmen!$B$37-Annahmen!$B$28))</f>
        <v/>
      </c>
    </row>
    <row r="10">
      <c r="A10" s="5" t="inlineStr">
        <is>
          <t>Möglich nach Stunden</t>
        </is>
      </c>
      <c r="B10" s="22">
        <f>MAX(0,(Annahmen!$B$41-B9)/B8)</f>
        <v/>
      </c>
      <c r="C10" s="22">
        <f>MAX(0,(Annahmen!$B$41-C9)/C8)</f>
        <v/>
      </c>
      <c r="D10" s="22">
        <f>MAX(0,(Annahmen!$B$41-D9)/D8)</f>
        <v/>
      </c>
      <c r="E10" s="22">
        <f>MAX(0,(Annahmen!$B$41-E9)/E8)</f>
        <v/>
      </c>
      <c r="F10" s="22">
        <f>MAX(0,(Annahmen!$B$41-F9)/F8)</f>
        <v/>
      </c>
      <c r="G10" s="22">
        <f>MAX(0,(Annahmen!$B$41-G9)/G8)</f>
        <v/>
      </c>
      <c r="H10" s="22">
        <f>MAX(0,(Annahmen!$B$41-H9)/H8)</f>
        <v/>
      </c>
      <c r="I10" s="22">
        <f>MAX(0,(Annahmen!$B$41-I9)/I8)</f>
        <v/>
      </c>
      <c r="J10" s="22">
        <f>MAX(0,(Annahmen!$B$41-J9)/J8)</f>
        <v/>
      </c>
      <c r="K10" s="22">
        <f>MAX(0,(Annahmen!$B$41-K9)/K8)</f>
        <v/>
      </c>
      <c r="L10" s="22">
        <f>MAX(0,(Annahmen!$B$41-L9)/L8)</f>
        <v/>
      </c>
      <c r="M10" s="22">
        <f>MAX(0,(Annahmen!$B$41-M9)/M8)</f>
        <v/>
      </c>
      <c r="N10" s="22">
        <f>MAX(0,(Annahmen!$B$41-N9)/N8)</f>
        <v/>
      </c>
      <c r="O10" s="22">
        <f>MAX(0,(Annahmen!$B$41-O9)/O8)</f>
        <v/>
      </c>
      <c r="P10" s="22">
        <f>MAX(0,(Annahmen!$B$41-P9)/P8)</f>
        <v/>
      </c>
      <c r="Q10" s="22">
        <f>MAX(0,(Annahmen!$B$41-Q9)/Q8)</f>
        <v/>
      </c>
      <c r="R10" s="22">
        <f>MAX(0,(Annahmen!$B$41-R9)/R8)</f>
        <v/>
      </c>
      <c r="S10" s="22">
        <f>MAX(0,(Annahmen!$B$41-S9)/S8)</f>
        <v/>
      </c>
      <c r="T10" s="22">
        <f>MAX(0,(Annahmen!$B$41-T9)/T8)</f>
        <v/>
      </c>
      <c r="U10" s="22">
        <f>MAX(0,(Annahmen!$B$41-U9)/U8)</f>
        <v/>
      </c>
      <c r="V10" s="22">
        <f>MAX(0,(Annahmen!$B$41-V9)/V8)</f>
        <v/>
      </c>
      <c r="W10" s="22">
        <f>MAX(0,(Annahmen!$B$41-W9)/W8)</f>
        <v/>
      </c>
      <c r="X10" s="22">
        <f>MAX(0,(Annahmen!$B$41-X9)/X8)</f>
        <v/>
      </c>
      <c r="Y10" s="22">
        <f>MAX(0,(Annahmen!$B$41-Y9)/Y8)</f>
        <v/>
      </c>
    </row>
    <row r="11">
      <c r="A11" s="7" t="inlineStr">
        <is>
          <t>Abschlüsse</t>
        </is>
      </c>
      <c r="B11" s="21">
        <f>MIN(B5,B10)</f>
        <v/>
      </c>
      <c r="C11" s="21">
        <f>MIN(C5,C10)</f>
        <v/>
      </c>
      <c r="D11" s="21">
        <f>MIN(D5,D10)</f>
        <v/>
      </c>
      <c r="E11" s="21">
        <f>MIN(E5,E10)</f>
        <v/>
      </c>
      <c r="F11" s="21">
        <f>MIN(F5,F10)</f>
        <v/>
      </c>
      <c r="G11" s="21">
        <f>MIN(G5,G10)</f>
        <v/>
      </c>
      <c r="H11" s="21">
        <f>MIN(H5,H10)</f>
        <v/>
      </c>
      <c r="I11" s="21">
        <f>MIN(I5,I10)</f>
        <v/>
      </c>
      <c r="J11" s="21">
        <f>MIN(J5,J10)</f>
        <v/>
      </c>
      <c r="K11" s="21">
        <f>MIN(K5,K10)</f>
        <v/>
      </c>
      <c r="L11" s="21">
        <f>MIN(L5,L10)</f>
        <v/>
      </c>
      <c r="M11" s="21">
        <f>MIN(M5,M10)</f>
        <v/>
      </c>
      <c r="N11" s="21">
        <f>MIN(N5,N10)</f>
        <v/>
      </c>
      <c r="O11" s="21">
        <f>MIN(O5,O10)</f>
        <v/>
      </c>
      <c r="P11" s="21">
        <f>MIN(P5,P10)</f>
        <v/>
      </c>
      <c r="Q11" s="21">
        <f>MIN(Q5,Q10)</f>
        <v/>
      </c>
      <c r="R11" s="21">
        <f>MIN(R5,R10)</f>
        <v/>
      </c>
      <c r="S11" s="21">
        <f>MIN(S5,S10)</f>
        <v/>
      </c>
      <c r="T11" s="21">
        <f>MIN(T5,T10)</f>
        <v/>
      </c>
      <c r="U11" s="21">
        <f>MIN(U5,U10)</f>
        <v/>
      </c>
      <c r="V11" s="21">
        <f>MIN(V5,V10)</f>
        <v/>
      </c>
      <c r="W11" s="21">
        <f>MIN(W5,W10)</f>
        <v/>
      </c>
      <c r="X11" s="21">
        <f>MIN(X5,X10)</f>
        <v/>
      </c>
      <c r="Y11" s="21">
        <f>MIN(Y5,Y10)</f>
        <v/>
      </c>
    </row>
    <row r="12">
      <c r="A12" s="5" t="inlineStr">
        <is>
          <t>Abschlüsse kumuliert</t>
        </is>
      </c>
      <c r="B12" s="22">
        <f>0+B11</f>
        <v/>
      </c>
      <c r="C12" s="22">
        <f>B12+C11</f>
        <v/>
      </c>
      <c r="D12" s="22">
        <f>C12+D11</f>
        <v/>
      </c>
      <c r="E12" s="22">
        <f>D12+E11</f>
        <v/>
      </c>
      <c r="F12" s="22">
        <f>E12+F11</f>
        <v/>
      </c>
      <c r="G12" s="22">
        <f>F12+G11</f>
        <v/>
      </c>
      <c r="H12" s="22">
        <f>G12+H11</f>
        <v/>
      </c>
      <c r="I12" s="22">
        <f>H12+I11</f>
        <v/>
      </c>
      <c r="J12" s="22">
        <f>I12+J11</f>
        <v/>
      </c>
      <c r="K12" s="22">
        <f>J12+K11</f>
        <v/>
      </c>
      <c r="L12" s="22">
        <f>K12+L11</f>
        <v/>
      </c>
      <c r="M12" s="22">
        <f>L12+M11</f>
        <v/>
      </c>
      <c r="N12" s="22">
        <f>M12+N11</f>
        <v/>
      </c>
      <c r="O12" s="22">
        <f>N12+O11</f>
        <v/>
      </c>
      <c r="P12" s="22">
        <f>O12+P11</f>
        <v/>
      </c>
      <c r="Q12" s="22">
        <f>P12+Q11</f>
        <v/>
      </c>
      <c r="R12" s="22">
        <f>Q12+R11</f>
        <v/>
      </c>
      <c r="S12" s="22">
        <f>R12+S11</f>
        <v/>
      </c>
      <c r="T12" s="22">
        <f>S12+T11</f>
        <v/>
      </c>
      <c r="U12" s="22">
        <f>T12+U11</f>
        <v/>
      </c>
      <c r="V12" s="22">
        <f>U12+V11</f>
        <v/>
      </c>
      <c r="W12" s="22">
        <f>V12+W11</f>
        <v/>
      </c>
      <c r="X12" s="22">
        <f>W12+X11</f>
        <v/>
      </c>
      <c r="Y12" s="22">
        <f>X12+Y11</f>
        <v/>
      </c>
    </row>
    <row r="13">
      <c r="A13" s="24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</row>
    <row r="14">
      <c r="A14" s="5" t="inlineStr">
        <is>
          <t>Aktive Pflege-Kunden</t>
        </is>
      </c>
      <c r="B14" s="22">
        <f>0*(1-Annahmen!$B$17)+B11*Annahmen!$B$12/(1-Annahmen!$B$15*(1-B6))</f>
        <v/>
      </c>
      <c r="C14" s="22">
        <f>B14*(1-Annahmen!$B$17)+C11*Annahmen!$B$12/(1-Annahmen!$B$15*(1-C6))</f>
        <v/>
      </c>
      <c r="D14" s="22">
        <f>C14*(1-Annahmen!$B$17)+D11*Annahmen!$B$12/(1-Annahmen!$B$15*(1-D6))</f>
        <v/>
      </c>
      <c r="E14" s="22">
        <f>D14*(1-Annahmen!$B$17)+E11*Annahmen!$B$12/(1-Annahmen!$B$15*(1-E6))</f>
        <v/>
      </c>
      <c r="F14" s="22">
        <f>E14*(1-Annahmen!$B$17)+F11*Annahmen!$B$12/(1-Annahmen!$B$15*(1-F6))</f>
        <v/>
      </c>
      <c r="G14" s="22">
        <f>F14*(1-Annahmen!$B$17)+G11*Annahmen!$B$12/(1-Annahmen!$B$15*(1-G6))</f>
        <v/>
      </c>
      <c r="H14" s="22">
        <f>G14*(1-Annahmen!$B$17)+H11*Annahmen!$B$12/(1-Annahmen!$B$15*(1-H6))</f>
        <v/>
      </c>
      <c r="I14" s="22">
        <f>H14*(1-Annahmen!$B$17)+I11*Annahmen!$B$12/(1-Annahmen!$B$15*(1-I6))</f>
        <v/>
      </c>
      <c r="J14" s="22">
        <f>I14*(1-Annahmen!$B$17)+J11*Annahmen!$B$12/(1-Annahmen!$B$15*(1-J6))</f>
        <v/>
      </c>
      <c r="K14" s="22">
        <f>J14*(1-Annahmen!$B$17)+K11*Annahmen!$B$12/(1-Annahmen!$B$15*(1-K6))</f>
        <v/>
      </c>
      <c r="L14" s="22">
        <f>K14*(1-Annahmen!$B$17)+L11*Annahmen!$B$12/(1-Annahmen!$B$15*(1-L6))</f>
        <v/>
      </c>
      <c r="M14" s="22">
        <f>L14*(1-Annahmen!$B$17)+M11*Annahmen!$B$12/(1-Annahmen!$B$15*(1-M6))</f>
        <v/>
      </c>
      <c r="N14" s="22">
        <f>M14*(1-Annahmen!$B$17)+N11*Annahmen!$B$12/(1-Annahmen!$B$15*(1-N6))</f>
        <v/>
      </c>
      <c r="O14" s="22">
        <f>N14*(1-Annahmen!$B$17)+O11*Annahmen!$B$12/(1-Annahmen!$B$15*(1-O6))</f>
        <v/>
      </c>
      <c r="P14" s="22">
        <f>O14*(1-Annahmen!$B$17)+P11*Annahmen!$B$12/(1-Annahmen!$B$15*(1-P6))</f>
        <v/>
      </c>
      <c r="Q14" s="22">
        <f>P14*(1-Annahmen!$B$17)+Q11*Annahmen!$B$12/(1-Annahmen!$B$15*(1-Q6))</f>
        <v/>
      </c>
      <c r="R14" s="22">
        <f>Q14*(1-Annahmen!$B$17)+R11*Annahmen!$B$12/(1-Annahmen!$B$15*(1-R6))</f>
        <v/>
      </c>
      <c r="S14" s="22">
        <f>R14*(1-Annahmen!$B$17)+S11*Annahmen!$B$12/(1-Annahmen!$B$15*(1-S6))</f>
        <v/>
      </c>
      <c r="T14" s="22">
        <f>S14*(1-Annahmen!$B$17)+T11*Annahmen!$B$12/(1-Annahmen!$B$15*(1-T6))</f>
        <v/>
      </c>
      <c r="U14" s="22">
        <f>T14*(1-Annahmen!$B$17)+U11*Annahmen!$B$12/(1-Annahmen!$B$15*(1-U6))</f>
        <v/>
      </c>
      <c r="V14" s="22">
        <f>U14*(1-Annahmen!$B$17)+V11*Annahmen!$B$12/(1-Annahmen!$B$15*(1-V6))</f>
        <v/>
      </c>
      <c r="W14" s="22">
        <f>V14*(1-Annahmen!$B$17)+W11*Annahmen!$B$12/(1-Annahmen!$B$15*(1-W6))</f>
        <v/>
      </c>
      <c r="X14" s="22">
        <f>W14*(1-Annahmen!$B$17)+X11*Annahmen!$B$12/(1-Annahmen!$B$15*(1-X6))</f>
        <v/>
      </c>
      <c r="Y14" s="22">
        <f>X14*(1-Annahmen!$B$17)+Y11*Annahmen!$B$12/(1-Annahmen!$B$15*(1-Y6))</f>
        <v/>
      </c>
    </row>
    <row r="15">
      <c r="A15" s="5" t="inlineStr">
        <is>
          <t>Aktive Programm-Kunden</t>
        </is>
      </c>
      <c r="B15" s="22">
        <f>0*(1-Annahmen!$B$18)+B11*Annahmen!$B$13/(1-Annahmen!$B$15*(1-B6))</f>
        <v/>
      </c>
      <c r="C15" s="22">
        <f>B15*(1-Annahmen!$B$18)+C11*Annahmen!$B$13/(1-Annahmen!$B$15*(1-C6))</f>
        <v/>
      </c>
      <c r="D15" s="22">
        <f>C15*(1-Annahmen!$B$18)+D11*Annahmen!$B$13/(1-Annahmen!$B$15*(1-D6))</f>
        <v/>
      </c>
      <c r="E15" s="22">
        <f>D15*(1-Annahmen!$B$18)+E11*Annahmen!$B$13/(1-Annahmen!$B$15*(1-E6))</f>
        <v/>
      </c>
      <c r="F15" s="22">
        <f>E15*(1-Annahmen!$B$18)+F11*Annahmen!$B$13/(1-Annahmen!$B$15*(1-F6))</f>
        <v/>
      </c>
      <c r="G15" s="22">
        <f>F15*(1-Annahmen!$B$18)+G11*Annahmen!$B$13/(1-Annahmen!$B$15*(1-G6))</f>
        <v/>
      </c>
      <c r="H15" s="22">
        <f>G15*(1-Annahmen!$B$18)+H11*Annahmen!$B$13/(1-Annahmen!$B$15*(1-H6))</f>
        <v/>
      </c>
      <c r="I15" s="22">
        <f>H15*(1-Annahmen!$B$18)+I11*Annahmen!$B$13/(1-Annahmen!$B$15*(1-I6))</f>
        <v/>
      </c>
      <c r="J15" s="22">
        <f>I15*(1-Annahmen!$B$18)+J11*Annahmen!$B$13/(1-Annahmen!$B$15*(1-J6))</f>
        <v/>
      </c>
      <c r="K15" s="22">
        <f>J15*(1-Annahmen!$B$18)+K11*Annahmen!$B$13/(1-Annahmen!$B$15*(1-K6))</f>
        <v/>
      </c>
      <c r="L15" s="22">
        <f>K15*(1-Annahmen!$B$18)+L11*Annahmen!$B$13/(1-Annahmen!$B$15*(1-L6))</f>
        <v/>
      </c>
      <c r="M15" s="22">
        <f>L15*(1-Annahmen!$B$18)+M11*Annahmen!$B$13/(1-Annahmen!$B$15*(1-M6))</f>
        <v/>
      </c>
      <c r="N15" s="22">
        <f>M15*(1-Annahmen!$B$18)+N11*Annahmen!$B$13/(1-Annahmen!$B$15*(1-N6))</f>
        <v/>
      </c>
      <c r="O15" s="22">
        <f>N15*(1-Annahmen!$B$18)+O11*Annahmen!$B$13/(1-Annahmen!$B$15*(1-O6))</f>
        <v/>
      </c>
      <c r="P15" s="22">
        <f>O15*(1-Annahmen!$B$18)+P11*Annahmen!$B$13/(1-Annahmen!$B$15*(1-P6))</f>
        <v/>
      </c>
      <c r="Q15" s="22">
        <f>P15*(1-Annahmen!$B$18)+Q11*Annahmen!$B$13/(1-Annahmen!$B$15*(1-Q6))</f>
        <v/>
      </c>
      <c r="R15" s="22">
        <f>Q15*(1-Annahmen!$B$18)+R11*Annahmen!$B$13/(1-Annahmen!$B$15*(1-R6))</f>
        <v/>
      </c>
      <c r="S15" s="22">
        <f>R15*(1-Annahmen!$B$18)+S11*Annahmen!$B$13/(1-Annahmen!$B$15*(1-S6))</f>
        <v/>
      </c>
      <c r="T15" s="22">
        <f>S15*(1-Annahmen!$B$18)+T11*Annahmen!$B$13/(1-Annahmen!$B$15*(1-T6))</f>
        <v/>
      </c>
      <c r="U15" s="22">
        <f>T15*(1-Annahmen!$B$18)+U11*Annahmen!$B$13/(1-Annahmen!$B$15*(1-U6))</f>
        <v/>
      </c>
      <c r="V15" s="22">
        <f>U15*(1-Annahmen!$B$18)+V11*Annahmen!$B$13/(1-Annahmen!$B$15*(1-V6))</f>
        <v/>
      </c>
      <c r="W15" s="22">
        <f>V15*(1-Annahmen!$B$18)+W11*Annahmen!$B$13/(1-Annahmen!$B$15*(1-W6))</f>
        <v/>
      </c>
      <c r="X15" s="22">
        <f>W15*(1-Annahmen!$B$18)+X11*Annahmen!$B$13/(1-Annahmen!$B$15*(1-X6))</f>
        <v/>
      </c>
      <c r="Y15" s="22">
        <f>X15*(1-Annahmen!$B$18)+Y11*Annahmen!$B$13/(1-Annahmen!$B$15*(1-Y6))</f>
        <v/>
      </c>
    </row>
    <row r="16">
      <c r="A16" s="5" t="inlineStr">
        <is>
          <t>Aktive SEO-Kunden</t>
        </is>
      </c>
      <c r="B16" s="22">
        <f>0*(1-Annahmen!$B$19)+B11*Annahmen!$B$14/(1-Annahmen!$B$15*(1-B6))</f>
        <v/>
      </c>
      <c r="C16" s="22">
        <f>B16*(1-Annahmen!$B$19)+C11*Annahmen!$B$14/(1-Annahmen!$B$15*(1-C6))</f>
        <v/>
      </c>
      <c r="D16" s="22">
        <f>C16*(1-Annahmen!$B$19)+D11*Annahmen!$B$14/(1-Annahmen!$B$15*(1-D6))</f>
        <v/>
      </c>
      <c r="E16" s="22">
        <f>D16*(1-Annahmen!$B$19)+E11*Annahmen!$B$14/(1-Annahmen!$B$15*(1-E6))</f>
        <v/>
      </c>
      <c r="F16" s="22">
        <f>E16*(1-Annahmen!$B$19)+F11*Annahmen!$B$14/(1-Annahmen!$B$15*(1-F6))</f>
        <v/>
      </c>
      <c r="G16" s="22">
        <f>F16*(1-Annahmen!$B$19)+G11*Annahmen!$B$14/(1-Annahmen!$B$15*(1-G6))</f>
        <v/>
      </c>
      <c r="H16" s="22">
        <f>G16*(1-Annahmen!$B$19)+H11*Annahmen!$B$14/(1-Annahmen!$B$15*(1-H6))</f>
        <v/>
      </c>
      <c r="I16" s="22">
        <f>H16*(1-Annahmen!$B$19)+I11*Annahmen!$B$14/(1-Annahmen!$B$15*(1-I6))</f>
        <v/>
      </c>
      <c r="J16" s="22">
        <f>I16*(1-Annahmen!$B$19)+J11*Annahmen!$B$14/(1-Annahmen!$B$15*(1-J6))</f>
        <v/>
      </c>
      <c r="K16" s="22">
        <f>J16*(1-Annahmen!$B$19)+K11*Annahmen!$B$14/(1-Annahmen!$B$15*(1-K6))</f>
        <v/>
      </c>
      <c r="L16" s="22">
        <f>K16*(1-Annahmen!$B$19)+L11*Annahmen!$B$14/(1-Annahmen!$B$15*(1-L6))</f>
        <v/>
      </c>
      <c r="M16" s="22">
        <f>L16*(1-Annahmen!$B$19)+M11*Annahmen!$B$14/(1-Annahmen!$B$15*(1-M6))</f>
        <v/>
      </c>
      <c r="N16" s="22">
        <f>M16*(1-Annahmen!$B$19)+N11*Annahmen!$B$14/(1-Annahmen!$B$15*(1-N6))</f>
        <v/>
      </c>
      <c r="O16" s="22">
        <f>N16*(1-Annahmen!$B$19)+O11*Annahmen!$B$14/(1-Annahmen!$B$15*(1-O6))</f>
        <v/>
      </c>
      <c r="P16" s="22">
        <f>O16*(1-Annahmen!$B$19)+P11*Annahmen!$B$14/(1-Annahmen!$B$15*(1-P6))</f>
        <v/>
      </c>
      <c r="Q16" s="22">
        <f>P16*(1-Annahmen!$B$19)+Q11*Annahmen!$B$14/(1-Annahmen!$B$15*(1-Q6))</f>
        <v/>
      </c>
      <c r="R16" s="22">
        <f>Q16*(1-Annahmen!$B$19)+R11*Annahmen!$B$14/(1-Annahmen!$B$15*(1-R6))</f>
        <v/>
      </c>
      <c r="S16" s="22">
        <f>R16*(1-Annahmen!$B$19)+S11*Annahmen!$B$14/(1-Annahmen!$B$15*(1-S6))</f>
        <v/>
      </c>
      <c r="T16" s="22">
        <f>S16*(1-Annahmen!$B$19)+T11*Annahmen!$B$14/(1-Annahmen!$B$15*(1-T6))</f>
        <v/>
      </c>
      <c r="U16" s="22">
        <f>T16*(1-Annahmen!$B$19)+U11*Annahmen!$B$14/(1-Annahmen!$B$15*(1-U6))</f>
        <v/>
      </c>
      <c r="V16" s="22">
        <f>U16*(1-Annahmen!$B$19)+V11*Annahmen!$B$14/(1-Annahmen!$B$15*(1-V6))</f>
        <v/>
      </c>
      <c r="W16" s="22">
        <f>V16*(1-Annahmen!$B$19)+W11*Annahmen!$B$14/(1-Annahmen!$B$15*(1-W6))</f>
        <v/>
      </c>
      <c r="X16" s="22">
        <f>W16*(1-Annahmen!$B$19)+X11*Annahmen!$B$14/(1-Annahmen!$B$15*(1-X6))</f>
        <v/>
      </c>
      <c r="Y16" s="22">
        <f>X16*(1-Annahmen!$B$19)+Y11*Annahmen!$B$14/(1-Annahmen!$B$15*(1-Y6))</f>
        <v/>
      </c>
    </row>
    <row r="17">
      <c r="A17" s="5" t="inlineStr">
        <is>
          <t>Aktive Recruiting-Kunden</t>
        </is>
      </c>
      <c r="B17" s="22">
        <f>0*(1-Annahmen!$B$20)+B11*Annahmen!$B$15*B6</f>
        <v/>
      </c>
      <c r="C17" s="22">
        <f>B17*(1-Annahmen!$B$20)+C11*Annahmen!$B$15*C6</f>
        <v/>
      </c>
      <c r="D17" s="22">
        <f>C17*(1-Annahmen!$B$20)+D11*Annahmen!$B$15*D6</f>
        <v/>
      </c>
      <c r="E17" s="22">
        <f>D17*(1-Annahmen!$B$20)+E11*Annahmen!$B$15*E6</f>
        <v/>
      </c>
      <c r="F17" s="22">
        <f>E17*(1-Annahmen!$B$20)+F11*Annahmen!$B$15*F6</f>
        <v/>
      </c>
      <c r="G17" s="22">
        <f>F17*(1-Annahmen!$B$20)+G11*Annahmen!$B$15*G6</f>
        <v/>
      </c>
      <c r="H17" s="22">
        <f>G17*(1-Annahmen!$B$20)+H11*Annahmen!$B$15*H6</f>
        <v/>
      </c>
      <c r="I17" s="22">
        <f>H17*(1-Annahmen!$B$20)+I11*Annahmen!$B$15*I6</f>
        <v/>
      </c>
      <c r="J17" s="22">
        <f>I17*(1-Annahmen!$B$20)+J11*Annahmen!$B$15*J6</f>
        <v/>
      </c>
      <c r="K17" s="22">
        <f>J17*(1-Annahmen!$B$20)+K11*Annahmen!$B$15*K6</f>
        <v/>
      </c>
      <c r="L17" s="22">
        <f>K17*(1-Annahmen!$B$20)+L11*Annahmen!$B$15*L6</f>
        <v/>
      </c>
      <c r="M17" s="22">
        <f>L17*(1-Annahmen!$B$20)+M11*Annahmen!$B$15*M6</f>
        <v/>
      </c>
      <c r="N17" s="22">
        <f>M17*(1-Annahmen!$B$20)+N11*Annahmen!$B$15*N6</f>
        <v/>
      </c>
      <c r="O17" s="22">
        <f>N17*(1-Annahmen!$B$20)+O11*Annahmen!$B$15*O6</f>
        <v/>
      </c>
      <c r="P17" s="22">
        <f>O17*(1-Annahmen!$B$20)+P11*Annahmen!$B$15*P6</f>
        <v/>
      </c>
      <c r="Q17" s="22">
        <f>P17*(1-Annahmen!$B$20)+Q11*Annahmen!$B$15*Q6</f>
        <v/>
      </c>
      <c r="R17" s="22">
        <f>Q17*(1-Annahmen!$B$20)+R11*Annahmen!$B$15*R6</f>
        <v/>
      </c>
      <c r="S17" s="22">
        <f>R17*(1-Annahmen!$B$20)+S11*Annahmen!$B$15*S6</f>
        <v/>
      </c>
      <c r="T17" s="22">
        <f>S17*(1-Annahmen!$B$20)+T11*Annahmen!$B$15*T6</f>
        <v/>
      </c>
      <c r="U17" s="22">
        <f>T17*(1-Annahmen!$B$20)+U11*Annahmen!$B$15*U6</f>
        <v/>
      </c>
      <c r="V17" s="22">
        <f>U17*(1-Annahmen!$B$20)+V11*Annahmen!$B$15*V6</f>
        <v/>
      </c>
      <c r="W17" s="22">
        <f>V17*(1-Annahmen!$B$20)+W11*Annahmen!$B$15*W6</f>
        <v/>
      </c>
      <c r="X17" s="22">
        <f>W17*(1-Annahmen!$B$20)+X11*Annahmen!$B$15*X6</f>
        <v/>
      </c>
      <c r="Y17" s="22">
        <f>X17*(1-Annahmen!$B$20)+Y11*Annahmen!$B$15*Y6</f>
        <v/>
      </c>
    </row>
    <row r="18">
      <c r="A18" s="24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  <c r="T18" s="24" t="n"/>
      <c r="U18" s="24" t="n"/>
      <c r="V18" s="24" t="n"/>
      <c r="W18" s="24" t="n"/>
      <c r="X18" s="24" t="n"/>
      <c r="Y18" s="24" t="n"/>
    </row>
    <row r="19">
      <c r="A19" s="7" t="inlineStr">
        <is>
          <t>MRR</t>
        </is>
      </c>
      <c r="B19" s="25">
        <f>B14*Annahmen!$B$6+B15*Annahmen!$B$7+B16*Annahmen!$B$9+B17*Annahmen!$B$10</f>
        <v/>
      </c>
      <c r="C19" s="25">
        <f>C14*Annahmen!$B$6+C15*Annahmen!$B$7+C16*Annahmen!$B$9+C17*Annahmen!$B$10</f>
        <v/>
      </c>
      <c r="D19" s="25">
        <f>D14*Annahmen!$B$6+D15*Annahmen!$B$7+D16*Annahmen!$B$9+D17*Annahmen!$B$10</f>
        <v/>
      </c>
      <c r="E19" s="25">
        <f>E14*Annahmen!$B$6+E15*Annahmen!$B$7+E16*Annahmen!$B$9+E17*Annahmen!$B$10</f>
        <v/>
      </c>
      <c r="F19" s="25">
        <f>F14*Annahmen!$B$6+F15*Annahmen!$B$7+F16*Annahmen!$B$9+F17*Annahmen!$B$10</f>
        <v/>
      </c>
      <c r="G19" s="25">
        <f>G14*Annahmen!$B$6+G15*Annahmen!$B$7+G16*Annahmen!$B$9+G17*Annahmen!$B$10</f>
        <v/>
      </c>
      <c r="H19" s="25">
        <f>H14*Annahmen!$B$6+H15*Annahmen!$B$7+H16*Annahmen!$B$9+H17*Annahmen!$B$10</f>
        <v/>
      </c>
      <c r="I19" s="25">
        <f>I14*Annahmen!$B$6+I15*Annahmen!$B$7+I16*Annahmen!$B$9+I17*Annahmen!$B$10</f>
        <v/>
      </c>
      <c r="J19" s="25">
        <f>J14*Annahmen!$B$6+J15*Annahmen!$B$7+J16*Annahmen!$B$9+J17*Annahmen!$B$10</f>
        <v/>
      </c>
      <c r="K19" s="25">
        <f>K14*Annahmen!$B$6+K15*Annahmen!$B$7+K16*Annahmen!$B$9+K17*Annahmen!$B$10</f>
        <v/>
      </c>
      <c r="L19" s="25">
        <f>L14*Annahmen!$B$6+L15*Annahmen!$B$7+L16*Annahmen!$B$9+L17*Annahmen!$B$10</f>
        <v/>
      </c>
      <c r="M19" s="25">
        <f>M14*Annahmen!$B$6+M15*Annahmen!$B$7+M16*Annahmen!$B$9+M17*Annahmen!$B$10</f>
        <v/>
      </c>
      <c r="N19" s="25">
        <f>N14*Annahmen!$B$6+N15*Annahmen!$B$7+N16*Annahmen!$B$9+N17*Annahmen!$B$10</f>
        <v/>
      </c>
      <c r="O19" s="25">
        <f>O14*Annahmen!$B$6+O15*Annahmen!$B$7+O16*Annahmen!$B$9+O17*Annahmen!$B$10</f>
        <v/>
      </c>
      <c r="P19" s="25">
        <f>P14*Annahmen!$B$6+P15*Annahmen!$B$7+P16*Annahmen!$B$9+P17*Annahmen!$B$10</f>
        <v/>
      </c>
      <c r="Q19" s="25">
        <f>Q14*Annahmen!$B$6+Q15*Annahmen!$B$7+Q16*Annahmen!$B$9+Q17*Annahmen!$B$10</f>
        <v/>
      </c>
      <c r="R19" s="25">
        <f>R14*Annahmen!$B$6+R15*Annahmen!$B$7+R16*Annahmen!$B$9+R17*Annahmen!$B$10</f>
        <v/>
      </c>
      <c r="S19" s="25">
        <f>S14*Annahmen!$B$6+S15*Annahmen!$B$7+S16*Annahmen!$B$9+S17*Annahmen!$B$10</f>
        <v/>
      </c>
      <c r="T19" s="25">
        <f>T14*Annahmen!$B$6+T15*Annahmen!$B$7+T16*Annahmen!$B$9+T17*Annahmen!$B$10</f>
        <v/>
      </c>
      <c r="U19" s="25">
        <f>U14*Annahmen!$B$6+U15*Annahmen!$B$7+U16*Annahmen!$B$9+U17*Annahmen!$B$10</f>
        <v/>
      </c>
      <c r="V19" s="25">
        <f>V14*Annahmen!$B$6+V15*Annahmen!$B$7+V16*Annahmen!$B$9+V17*Annahmen!$B$10</f>
        <v/>
      </c>
      <c r="W19" s="25">
        <f>W14*Annahmen!$B$6+W15*Annahmen!$B$7+W16*Annahmen!$B$9+W17*Annahmen!$B$10</f>
        <v/>
      </c>
      <c r="X19" s="25">
        <f>X14*Annahmen!$B$6+X15*Annahmen!$B$7+X16*Annahmen!$B$9+X17*Annahmen!$B$10</f>
        <v/>
      </c>
      <c r="Y19" s="25">
        <f>Y14*Annahmen!$B$6+Y15*Annahmen!$B$7+Y16*Annahmen!$B$9+Y17*Annahmen!$B$10</f>
        <v/>
      </c>
    </row>
    <row r="20">
      <c r="A20" s="5" t="inlineStr">
        <is>
          <t>Einmalumsatz</t>
        </is>
      </c>
      <c r="B20" s="26">
        <f>B11*(Annahmen!$B$12/(1-Annahmen!$B$15*(1-B6))*Annahmen!$B$5+Annahmen!$B$13/(1-Annahmen!$B$15*(1-B6))*Annahmen!$B$8+Annahmen!$B$15*B6*Annahmen!$B$11)</f>
        <v/>
      </c>
      <c r="C20" s="26">
        <f>C11*(Annahmen!$B$12/(1-Annahmen!$B$15*(1-C6))*Annahmen!$B$5+Annahmen!$B$13/(1-Annahmen!$B$15*(1-C6))*Annahmen!$B$8+Annahmen!$B$15*C6*Annahmen!$B$11)</f>
        <v/>
      </c>
      <c r="D20" s="26">
        <f>D11*(Annahmen!$B$12/(1-Annahmen!$B$15*(1-D6))*Annahmen!$B$5+Annahmen!$B$13/(1-Annahmen!$B$15*(1-D6))*Annahmen!$B$8+Annahmen!$B$15*D6*Annahmen!$B$11)</f>
        <v/>
      </c>
      <c r="E20" s="26">
        <f>E11*(Annahmen!$B$12/(1-Annahmen!$B$15*(1-E6))*Annahmen!$B$5+Annahmen!$B$13/(1-Annahmen!$B$15*(1-E6))*Annahmen!$B$8+Annahmen!$B$15*E6*Annahmen!$B$11)</f>
        <v/>
      </c>
      <c r="F20" s="26">
        <f>F11*(Annahmen!$B$12/(1-Annahmen!$B$15*(1-F6))*Annahmen!$B$5+Annahmen!$B$13/(1-Annahmen!$B$15*(1-F6))*Annahmen!$B$8+Annahmen!$B$15*F6*Annahmen!$B$11)</f>
        <v/>
      </c>
      <c r="G20" s="26">
        <f>G11*(Annahmen!$B$12/(1-Annahmen!$B$15*(1-G6))*Annahmen!$B$5+Annahmen!$B$13/(1-Annahmen!$B$15*(1-G6))*Annahmen!$B$8+Annahmen!$B$15*G6*Annahmen!$B$11)</f>
        <v/>
      </c>
      <c r="H20" s="26">
        <f>H11*(Annahmen!$B$12/(1-Annahmen!$B$15*(1-H6))*Annahmen!$B$5+Annahmen!$B$13/(1-Annahmen!$B$15*(1-H6))*Annahmen!$B$8+Annahmen!$B$15*H6*Annahmen!$B$11)</f>
        <v/>
      </c>
      <c r="I20" s="26">
        <f>I11*(Annahmen!$B$12/(1-Annahmen!$B$15*(1-I6))*Annahmen!$B$5+Annahmen!$B$13/(1-Annahmen!$B$15*(1-I6))*Annahmen!$B$8+Annahmen!$B$15*I6*Annahmen!$B$11)</f>
        <v/>
      </c>
      <c r="J20" s="26">
        <f>J11*(Annahmen!$B$12/(1-Annahmen!$B$15*(1-J6))*Annahmen!$B$5+Annahmen!$B$13/(1-Annahmen!$B$15*(1-J6))*Annahmen!$B$8+Annahmen!$B$15*J6*Annahmen!$B$11)</f>
        <v/>
      </c>
      <c r="K20" s="26">
        <f>K11*(Annahmen!$B$12/(1-Annahmen!$B$15*(1-K6))*Annahmen!$B$5+Annahmen!$B$13/(1-Annahmen!$B$15*(1-K6))*Annahmen!$B$8+Annahmen!$B$15*K6*Annahmen!$B$11)</f>
        <v/>
      </c>
      <c r="L20" s="26">
        <f>L11*(Annahmen!$B$12/(1-Annahmen!$B$15*(1-L6))*Annahmen!$B$5+Annahmen!$B$13/(1-Annahmen!$B$15*(1-L6))*Annahmen!$B$8+Annahmen!$B$15*L6*Annahmen!$B$11)</f>
        <v/>
      </c>
      <c r="M20" s="26">
        <f>M11*(Annahmen!$B$12/(1-Annahmen!$B$15*(1-M6))*Annahmen!$B$5+Annahmen!$B$13/(1-Annahmen!$B$15*(1-M6))*Annahmen!$B$8+Annahmen!$B$15*M6*Annahmen!$B$11)</f>
        <v/>
      </c>
      <c r="N20" s="26">
        <f>N11*(Annahmen!$B$12/(1-Annahmen!$B$15*(1-N6))*Annahmen!$B$5+Annahmen!$B$13/(1-Annahmen!$B$15*(1-N6))*Annahmen!$B$8+Annahmen!$B$15*N6*Annahmen!$B$11)</f>
        <v/>
      </c>
      <c r="O20" s="26">
        <f>O11*(Annahmen!$B$12/(1-Annahmen!$B$15*(1-O6))*Annahmen!$B$5+Annahmen!$B$13/(1-Annahmen!$B$15*(1-O6))*Annahmen!$B$8+Annahmen!$B$15*O6*Annahmen!$B$11)</f>
        <v/>
      </c>
      <c r="P20" s="26">
        <f>P11*(Annahmen!$B$12/(1-Annahmen!$B$15*(1-P6))*Annahmen!$B$5+Annahmen!$B$13/(1-Annahmen!$B$15*(1-P6))*Annahmen!$B$8+Annahmen!$B$15*P6*Annahmen!$B$11)</f>
        <v/>
      </c>
      <c r="Q20" s="26">
        <f>Q11*(Annahmen!$B$12/(1-Annahmen!$B$15*(1-Q6))*Annahmen!$B$5+Annahmen!$B$13/(1-Annahmen!$B$15*(1-Q6))*Annahmen!$B$8+Annahmen!$B$15*Q6*Annahmen!$B$11)</f>
        <v/>
      </c>
      <c r="R20" s="26">
        <f>R11*(Annahmen!$B$12/(1-Annahmen!$B$15*(1-R6))*Annahmen!$B$5+Annahmen!$B$13/(1-Annahmen!$B$15*(1-R6))*Annahmen!$B$8+Annahmen!$B$15*R6*Annahmen!$B$11)</f>
        <v/>
      </c>
      <c r="S20" s="26">
        <f>S11*(Annahmen!$B$12/(1-Annahmen!$B$15*(1-S6))*Annahmen!$B$5+Annahmen!$B$13/(1-Annahmen!$B$15*(1-S6))*Annahmen!$B$8+Annahmen!$B$15*S6*Annahmen!$B$11)</f>
        <v/>
      </c>
      <c r="T20" s="26">
        <f>T11*(Annahmen!$B$12/(1-Annahmen!$B$15*(1-T6))*Annahmen!$B$5+Annahmen!$B$13/(1-Annahmen!$B$15*(1-T6))*Annahmen!$B$8+Annahmen!$B$15*T6*Annahmen!$B$11)</f>
        <v/>
      </c>
      <c r="U20" s="26">
        <f>U11*(Annahmen!$B$12/(1-Annahmen!$B$15*(1-U6))*Annahmen!$B$5+Annahmen!$B$13/(1-Annahmen!$B$15*(1-U6))*Annahmen!$B$8+Annahmen!$B$15*U6*Annahmen!$B$11)</f>
        <v/>
      </c>
      <c r="V20" s="26">
        <f>V11*(Annahmen!$B$12/(1-Annahmen!$B$15*(1-V6))*Annahmen!$B$5+Annahmen!$B$13/(1-Annahmen!$B$15*(1-V6))*Annahmen!$B$8+Annahmen!$B$15*V6*Annahmen!$B$11)</f>
        <v/>
      </c>
      <c r="W20" s="26">
        <f>W11*(Annahmen!$B$12/(1-Annahmen!$B$15*(1-W6))*Annahmen!$B$5+Annahmen!$B$13/(1-Annahmen!$B$15*(1-W6))*Annahmen!$B$8+Annahmen!$B$15*W6*Annahmen!$B$11)</f>
        <v/>
      </c>
      <c r="X20" s="26">
        <f>X11*(Annahmen!$B$12/(1-Annahmen!$B$15*(1-X6))*Annahmen!$B$5+Annahmen!$B$13/(1-Annahmen!$B$15*(1-X6))*Annahmen!$B$8+Annahmen!$B$15*X6*Annahmen!$B$11)</f>
        <v/>
      </c>
      <c r="Y20" s="26">
        <f>Y11*(Annahmen!$B$12/(1-Annahmen!$B$15*(1-Y6))*Annahmen!$B$5+Annahmen!$B$13/(1-Annahmen!$B$15*(1-Y6))*Annahmen!$B$8+Annahmen!$B$15*Y6*Annahmen!$B$11)</f>
        <v/>
      </c>
    </row>
    <row r="21">
      <c r="A21" s="7" t="inlineStr">
        <is>
          <t>Umsatz</t>
        </is>
      </c>
      <c r="B21" s="25">
        <f>B19+B20</f>
        <v/>
      </c>
      <c r="C21" s="25">
        <f>C19+C20</f>
        <v/>
      </c>
      <c r="D21" s="25">
        <f>D19+D20</f>
        <v/>
      </c>
      <c r="E21" s="25">
        <f>E19+E20</f>
        <v/>
      </c>
      <c r="F21" s="25">
        <f>F19+F20</f>
        <v/>
      </c>
      <c r="G21" s="25">
        <f>G19+G20</f>
        <v/>
      </c>
      <c r="H21" s="25">
        <f>H19+H20</f>
        <v/>
      </c>
      <c r="I21" s="25">
        <f>I19+I20</f>
        <v/>
      </c>
      <c r="J21" s="25">
        <f>J19+J20</f>
        <v/>
      </c>
      <c r="K21" s="25">
        <f>K19+K20</f>
        <v/>
      </c>
      <c r="L21" s="25">
        <f>L19+L20</f>
        <v/>
      </c>
      <c r="M21" s="25">
        <f>M19+M20</f>
        <v/>
      </c>
      <c r="N21" s="25">
        <f>N19+N20</f>
        <v/>
      </c>
      <c r="O21" s="25">
        <f>O19+O20</f>
        <v/>
      </c>
      <c r="P21" s="25">
        <f>P19+P20</f>
        <v/>
      </c>
      <c r="Q21" s="25">
        <f>Q19+Q20</f>
        <v/>
      </c>
      <c r="R21" s="25">
        <f>R19+R20</f>
        <v/>
      </c>
      <c r="S21" s="25">
        <f>S19+S20</f>
        <v/>
      </c>
      <c r="T21" s="25">
        <f>T19+T20</f>
        <v/>
      </c>
      <c r="U21" s="25">
        <f>U19+U20</f>
        <v/>
      </c>
      <c r="V21" s="25">
        <f>V19+V20</f>
        <v/>
      </c>
      <c r="W21" s="25">
        <f>W19+W20</f>
        <v/>
      </c>
      <c r="X21" s="25">
        <f>X19+X20</f>
        <v/>
      </c>
      <c r="Y21" s="25">
        <f>Y19+Y20</f>
        <v/>
      </c>
    </row>
    <row r="22">
      <c r="A22" s="5" t="inlineStr">
        <is>
          <t>Kosten</t>
        </is>
      </c>
      <c r="B22" s="26">
        <f>Annahmen!$B$42+Annahmen!$B$43+B7*Annahmen!$B$40</f>
        <v/>
      </c>
      <c r="C22" s="26">
        <f>Annahmen!$B$42+Annahmen!$B$43+C7*Annahmen!$B$40</f>
        <v/>
      </c>
      <c r="D22" s="26">
        <f>Annahmen!$B$42+Annahmen!$B$43+D7*Annahmen!$B$40</f>
        <v/>
      </c>
      <c r="E22" s="26">
        <f>Annahmen!$B$42+Annahmen!$B$43+E7*Annahmen!$B$40</f>
        <v/>
      </c>
      <c r="F22" s="26">
        <f>Annahmen!$B$42+Annahmen!$B$43+F7*Annahmen!$B$40</f>
        <v/>
      </c>
      <c r="G22" s="26">
        <f>Annahmen!$B$42+Annahmen!$B$43+G7*Annahmen!$B$40</f>
        <v/>
      </c>
      <c r="H22" s="26">
        <f>Annahmen!$B$42+Annahmen!$B$43+H7*Annahmen!$B$40</f>
        <v/>
      </c>
      <c r="I22" s="26">
        <f>Annahmen!$B$42+Annahmen!$B$43+I7*Annahmen!$B$40</f>
        <v/>
      </c>
      <c r="J22" s="26">
        <f>Annahmen!$B$42+Annahmen!$B$43+J7*Annahmen!$B$40</f>
        <v/>
      </c>
      <c r="K22" s="26">
        <f>Annahmen!$B$42+Annahmen!$B$43+K7*Annahmen!$B$40</f>
        <v/>
      </c>
      <c r="L22" s="26">
        <f>Annahmen!$B$42+Annahmen!$B$43+L7*Annahmen!$B$40</f>
        <v/>
      </c>
      <c r="M22" s="26">
        <f>Annahmen!$B$42+Annahmen!$B$43+M7*Annahmen!$B$40</f>
        <v/>
      </c>
      <c r="N22" s="26">
        <f>Annahmen!$B$42+Annahmen!$B$43+N7*Annahmen!$B$40</f>
        <v/>
      </c>
      <c r="O22" s="26">
        <f>Annahmen!$B$42+Annahmen!$B$43+O7*Annahmen!$B$40</f>
        <v/>
      </c>
      <c r="P22" s="26">
        <f>Annahmen!$B$42+Annahmen!$B$43+P7*Annahmen!$B$40</f>
        <v/>
      </c>
      <c r="Q22" s="26">
        <f>Annahmen!$B$42+Annahmen!$B$43+Q7*Annahmen!$B$40</f>
        <v/>
      </c>
      <c r="R22" s="26">
        <f>Annahmen!$B$42+Annahmen!$B$43+R7*Annahmen!$B$40</f>
        <v/>
      </c>
      <c r="S22" s="26">
        <f>Annahmen!$B$42+Annahmen!$B$43+S7*Annahmen!$B$40</f>
        <v/>
      </c>
      <c r="T22" s="26">
        <f>Annahmen!$B$42+Annahmen!$B$43+T7*Annahmen!$B$40</f>
        <v/>
      </c>
      <c r="U22" s="26">
        <f>Annahmen!$B$42+Annahmen!$B$43+U7*Annahmen!$B$40</f>
        <v/>
      </c>
      <c r="V22" s="26">
        <f>Annahmen!$B$42+Annahmen!$B$43+V7*Annahmen!$B$40</f>
        <v/>
      </c>
      <c r="W22" s="26">
        <f>Annahmen!$B$42+Annahmen!$B$43+W7*Annahmen!$B$40</f>
        <v/>
      </c>
      <c r="X22" s="26">
        <f>Annahmen!$B$42+Annahmen!$B$43+X7*Annahmen!$B$40</f>
        <v/>
      </c>
      <c r="Y22" s="26">
        <f>Annahmen!$B$42+Annahmen!$B$43+Y7*Annahmen!$B$40</f>
        <v/>
      </c>
    </row>
    <row r="23">
      <c r="A23" s="7" t="inlineStr">
        <is>
          <t>Ergebnis vor Steuern (= Einkommen Gründer)</t>
        </is>
      </c>
      <c r="B23" s="25">
        <f>B21-B22</f>
        <v/>
      </c>
      <c r="C23" s="25">
        <f>C21-C22</f>
        <v/>
      </c>
      <c r="D23" s="25">
        <f>D21-D22</f>
        <v/>
      </c>
      <c r="E23" s="25">
        <f>E21-E22</f>
        <v/>
      </c>
      <c r="F23" s="25">
        <f>F21-F22</f>
        <v/>
      </c>
      <c r="G23" s="25">
        <f>G21-G22</f>
        <v/>
      </c>
      <c r="H23" s="25">
        <f>H21-H22</f>
        <v/>
      </c>
      <c r="I23" s="25">
        <f>I21-I22</f>
        <v/>
      </c>
      <c r="J23" s="25">
        <f>J21-J22</f>
        <v/>
      </c>
      <c r="K23" s="25">
        <f>K21-K22</f>
        <v/>
      </c>
      <c r="L23" s="25">
        <f>L21-L22</f>
        <v/>
      </c>
      <c r="M23" s="25">
        <f>M21-M22</f>
        <v/>
      </c>
      <c r="N23" s="25">
        <f>N21-N22</f>
        <v/>
      </c>
      <c r="O23" s="25">
        <f>O21-O22</f>
        <v/>
      </c>
      <c r="P23" s="25">
        <f>P21-P22</f>
        <v/>
      </c>
      <c r="Q23" s="25">
        <f>Q21-Q22</f>
        <v/>
      </c>
      <c r="R23" s="25">
        <f>R21-R22</f>
        <v/>
      </c>
      <c r="S23" s="25">
        <f>S21-S22</f>
        <v/>
      </c>
      <c r="T23" s="25">
        <f>T21-T22</f>
        <v/>
      </c>
      <c r="U23" s="25">
        <f>U21-U22</f>
        <v/>
      </c>
      <c r="V23" s="25">
        <f>V21-V22</f>
        <v/>
      </c>
      <c r="W23" s="25">
        <f>W21-W22</f>
        <v/>
      </c>
      <c r="X23" s="25">
        <f>X21-X22</f>
        <v/>
      </c>
      <c r="Y23" s="25">
        <f>Y21-Y22</f>
        <v/>
      </c>
    </row>
    <row r="24">
      <c r="A24" s="7" t="inlineStr">
        <is>
          <t>Kasse kumuliert</t>
        </is>
      </c>
      <c r="B24" s="16">
        <f>B23</f>
        <v/>
      </c>
      <c r="C24" s="16">
        <f>B24+C23</f>
        <v/>
      </c>
      <c r="D24" s="16">
        <f>C24+D23</f>
        <v/>
      </c>
      <c r="E24" s="16">
        <f>D24+E23</f>
        <v/>
      </c>
      <c r="F24" s="16">
        <f>E24+F23</f>
        <v/>
      </c>
      <c r="G24" s="16">
        <f>F24+G23</f>
        <v/>
      </c>
      <c r="H24" s="16">
        <f>G24+H23</f>
        <v/>
      </c>
      <c r="I24" s="16">
        <f>H24+I23</f>
        <v/>
      </c>
      <c r="J24" s="16">
        <f>I24+J23</f>
        <v/>
      </c>
      <c r="K24" s="16">
        <f>J24+K23</f>
        <v/>
      </c>
      <c r="L24" s="16">
        <f>K24+L23</f>
        <v/>
      </c>
      <c r="M24" s="16">
        <f>L24+M23</f>
        <v/>
      </c>
      <c r="N24" s="16">
        <f>M24+N23</f>
        <v/>
      </c>
      <c r="O24" s="16">
        <f>N24+O23</f>
        <v/>
      </c>
      <c r="P24" s="16">
        <f>O24+P23</f>
        <v/>
      </c>
      <c r="Q24" s="16">
        <f>P24+Q23</f>
        <v/>
      </c>
      <c r="R24" s="16">
        <f>Q24+R23</f>
        <v/>
      </c>
      <c r="S24" s="16">
        <f>R24+S23</f>
        <v/>
      </c>
      <c r="T24" s="16">
        <f>S24+T23</f>
        <v/>
      </c>
      <c r="U24" s="16">
        <f>T24+U23</f>
        <v/>
      </c>
      <c r="V24" s="16">
        <f>U24+V23</f>
        <v/>
      </c>
      <c r="W24" s="16">
        <f>V24+W23</f>
        <v/>
      </c>
      <c r="X24" s="16">
        <f>W24+X23</f>
        <v/>
      </c>
      <c r="Y24" s="16">
        <f>X24+Y23</f>
        <v/>
      </c>
    </row>
    <row r="25">
      <c r="A25" s="5" t="inlineStr">
        <is>
          <t>Belegte Stunden</t>
        </is>
      </c>
      <c r="B25" s="22">
        <f>B9+B11*B8</f>
        <v/>
      </c>
      <c r="C25" s="22">
        <f>C9+C11*C8</f>
        <v/>
      </c>
      <c r="D25" s="22">
        <f>D9+D11*D8</f>
        <v/>
      </c>
      <c r="E25" s="22">
        <f>E9+E11*E8</f>
        <v/>
      </c>
      <c r="F25" s="22">
        <f>F9+F11*F8</f>
        <v/>
      </c>
      <c r="G25" s="22">
        <f>G9+G11*G8</f>
        <v/>
      </c>
      <c r="H25" s="22">
        <f>H9+H11*H8</f>
        <v/>
      </c>
      <c r="I25" s="22">
        <f>I9+I11*I8</f>
        <v/>
      </c>
      <c r="J25" s="22">
        <f>J9+J11*J8</f>
        <v/>
      </c>
      <c r="K25" s="22">
        <f>K9+K11*K8</f>
        <v/>
      </c>
      <c r="L25" s="22">
        <f>L9+L11*L8</f>
        <v/>
      </c>
      <c r="M25" s="22">
        <f>M9+M11*M8</f>
        <v/>
      </c>
      <c r="N25" s="22">
        <f>N9+N11*N8</f>
        <v/>
      </c>
      <c r="O25" s="22">
        <f>O9+O11*O8</f>
        <v/>
      </c>
      <c r="P25" s="22">
        <f>P9+P11*P8</f>
        <v/>
      </c>
      <c r="Q25" s="22">
        <f>Q9+Q11*Q8</f>
        <v/>
      </c>
      <c r="R25" s="22">
        <f>R9+R11*R8</f>
        <v/>
      </c>
      <c r="S25" s="22">
        <f>S9+S11*S8</f>
        <v/>
      </c>
      <c r="T25" s="22">
        <f>T9+T11*T8</f>
        <v/>
      </c>
      <c r="U25" s="22">
        <f>U9+U11*U8</f>
        <v/>
      </c>
      <c r="V25" s="22">
        <f>V9+V11*V8</f>
        <v/>
      </c>
      <c r="W25" s="22">
        <f>W9+W11*W8</f>
        <v/>
      </c>
      <c r="X25" s="22">
        <f>X9+X11*X8</f>
        <v/>
      </c>
      <c r="Y25" s="22">
        <f>Y9+Y11*Y8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Solo-Plan · Szenario Optimistisch · automatisiert ab Kunde 5 (24 Monate ab Nov 2026)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</row>
    <row r="2">
      <c r="A2" s="3" t="inlineStr">
        <is>
          <t>Abschlüsse = Minimum aus Vertriebstempo und freien Stunden. Kundenzahlen sind Erwartungswerte.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</row>
    <row r="4">
      <c r="A4" s="4" t="inlineStr">
        <is>
          <t>Monat</t>
        </is>
      </c>
      <c r="B4" s="4" t="inlineStr">
        <is>
          <t>Nov 26</t>
        </is>
      </c>
      <c r="C4" s="4" t="inlineStr">
        <is>
          <t>Dez 26</t>
        </is>
      </c>
      <c r="D4" s="4" t="inlineStr">
        <is>
          <t>Jan 27</t>
        </is>
      </c>
      <c r="E4" s="4" t="inlineStr">
        <is>
          <t>Feb 27</t>
        </is>
      </c>
      <c r="F4" s="4" t="inlineStr">
        <is>
          <t>Mär 27</t>
        </is>
      </c>
      <c r="G4" s="4" t="inlineStr">
        <is>
          <t>Apr 27</t>
        </is>
      </c>
      <c r="H4" s="4" t="inlineStr">
        <is>
          <t>Mai 27</t>
        </is>
      </c>
      <c r="I4" s="4" t="inlineStr">
        <is>
          <t>Jun 27</t>
        </is>
      </c>
      <c r="J4" s="4" t="inlineStr">
        <is>
          <t>Jul 27</t>
        </is>
      </c>
      <c r="K4" s="4" t="inlineStr">
        <is>
          <t>Aug 27</t>
        </is>
      </c>
      <c r="L4" s="4" t="inlineStr">
        <is>
          <t>Sep 27</t>
        </is>
      </c>
      <c r="M4" s="4" t="inlineStr">
        <is>
          <t>Okt 27</t>
        </is>
      </c>
      <c r="N4" s="4" t="inlineStr">
        <is>
          <t>Nov 27</t>
        </is>
      </c>
      <c r="O4" s="4" t="inlineStr">
        <is>
          <t>Dez 27</t>
        </is>
      </c>
      <c r="P4" s="4" t="inlineStr">
        <is>
          <t>Jan 28</t>
        </is>
      </c>
      <c r="Q4" s="4" t="inlineStr">
        <is>
          <t>Feb 28</t>
        </is>
      </c>
      <c r="R4" s="4" t="inlineStr">
        <is>
          <t>Mär 28</t>
        </is>
      </c>
      <c r="S4" s="4" t="inlineStr">
        <is>
          <t>Apr 28</t>
        </is>
      </c>
      <c r="T4" s="4" t="inlineStr">
        <is>
          <t>Mai 28</t>
        </is>
      </c>
      <c r="U4" s="4" t="inlineStr">
        <is>
          <t>Jun 28</t>
        </is>
      </c>
      <c r="V4" s="4" t="inlineStr">
        <is>
          <t>Jul 28</t>
        </is>
      </c>
      <c r="W4" s="4" t="inlineStr">
        <is>
          <t>Aug 28</t>
        </is>
      </c>
      <c r="X4" s="4" t="inlineStr">
        <is>
          <t>Sep 28</t>
        </is>
      </c>
      <c r="Y4" s="4" t="inlineStr">
        <is>
          <t>Okt 28</t>
        </is>
      </c>
    </row>
    <row r="5">
      <c r="A5" s="5" t="inlineStr">
        <is>
          <t>Abschluss-Ziel (Vertrieb)</t>
        </is>
      </c>
      <c r="B5" s="22">
        <f>Annahmen!$D$48</f>
        <v/>
      </c>
      <c r="C5" s="22">
        <f>Annahmen!$D$48</f>
        <v/>
      </c>
      <c r="D5" s="22">
        <f>Annahmen!$D$49</f>
        <v/>
      </c>
      <c r="E5" s="22">
        <f>Annahmen!$D$49</f>
        <v/>
      </c>
      <c r="F5" s="22">
        <f>Annahmen!$D$49</f>
        <v/>
      </c>
      <c r="G5" s="22">
        <f>Annahmen!$D$49</f>
        <v/>
      </c>
      <c r="H5" s="22">
        <f>Annahmen!$D$49</f>
        <v/>
      </c>
      <c r="I5" s="22">
        <f>Annahmen!$D$49</f>
        <v/>
      </c>
      <c r="J5" s="22">
        <f>Annahmen!$D$49</f>
        <v/>
      </c>
      <c r="K5" s="22">
        <f>Annahmen!$D$49</f>
        <v/>
      </c>
      <c r="L5" s="22">
        <f>Annahmen!$D$49</f>
        <v/>
      </c>
      <c r="M5" s="22">
        <f>Annahmen!$D$49</f>
        <v/>
      </c>
      <c r="N5" s="22">
        <f>Annahmen!$D$49</f>
        <v/>
      </c>
      <c r="O5" s="22">
        <f>Annahmen!$D$49</f>
        <v/>
      </c>
      <c r="P5" s="22">
        <f>Annahmen!$D$49</f>
        <v/>
      </c>
      <c r="Q5" s="22">
        <f>Annahmen!$D$49</f>
        <v/>
      </c>
      <c r="R5" s="22">
        <f>Annahmen!$D$49</f>
        <v/>
      </c>
      <c r="S5" s="22">
        <f>Annahmen!$D$49</f>
        <v/>
      </c>
      <c r="T5" s="22">
        <f>Annahmen!$D$49</f>
        <v/>
      </c>
      <c r="U5" s="22">
        <f>Annahmen!$D$49</f>
        <v/>
      </c>
      <c r="V5" s="22">
        <f>Annahmen!$D$49</f>
        <v/>
      </c>
      <c r="W5" s="22">
        <f>Annahmen!$D$49</f>
        <v/>
      </c>
      <c r="X5" s="22">
        <f>Annahmen!$D$49</f>
        <v/>
      </c>
      <c r="Y5" s="22">
        <f>Annahmen!$D$49</f>
        <v/>
      </c>
    </row>
    <row r="6">
      <c r="A6" s="5" t="inlineStr">
        <is>
          <t>Recruiting im Verkauf (1 = ja)</t>
        </is>
      </c>
      <c r="B6" s="23">
        <f>IF(1&gt;=Annahmen!$B$16,1,0)</f>
        <v/>
      </c>
      <c r="C6" s="23">
        <f>IF(2&gt;=Annahmen!$B$16,1,0)</f>
        <v/>
      </c>
      <c r="D6" s="23">
        <f>IF(3&gt;=Annahmen!$B$16,1,0)</f>
        <v/>
      </c>
      <c r="E6" s="23">
        <f>IF(4&gt;=Annahmen!$B$16,1,0)</f>
        <v/>
      </c>
      <c r="F6" s="23">
        <f>IF(5&gt;=Annahmen!$B$16,1,0)</f>
        <v/>
      </c>
      <c r="G6" s="23">
        <f>IF(6&gt;=Annahmen!$B$16,1,0)</f>
        <v/>
      </c>
      <c r="H6" s="23">
        <f>IF(7&gt;=Annahmen!$B$16,1,0)</f>
        <v/>
      </c>
      <c r="I6" s="23">
        <f>IF(8&gt;=Annahmen!$B$16,1,0)</f>
        <v/>
      </c>
      <c r="J6" s="23">
        <f>IF(9&gt;=Annahmen!$B$16,1,0)</f>
        <v/>
      </c>
      <c r="K6" s="23">
        <f>IF(10&gt;=Annahmen!$B$16,1,0)</f>
        <v/>
      </c>
      <c r="L6" s="23">
        <f>IF(11&gt;=Annahmen!$B$16,1,0)</f>
        <v/>
      </c>
      <c r="M6" s="23">
        <f>IF(12&gt;=Annahmen!$B$16,1,0)</f>
        <v/>
      </c>
      <c r="N6" s="23">
        <f>IF(13&gt;=Annahmen!$B$16,1,0)</f>
        <v/>
      </c>
      <c r="O6" s="23">
        <f>IF(14&gt;=Annahmen!$B$16,1,0)</f>
        <v/>
      </c>
      <c r="P6" s="23">
        <f>IF(15&gt;=Annahmen!$B$16,1,0)</f>
        <v/>
      </c>
      <c r="Q6" s="23">
        <f>IF(16&gt;=Annahmen!$B$16,1,0)</f>
        <v/>
      </c>
      <c r="R6" s="23">
        <f>IF(17&gt;=Annahmen!$B$16,1,0)</f>
        <v/>
      </c>
      <c r="S6" s="23">
        <f>IF(18&gt;=Annahmen!$B$16,1,0)</f>
        <v/>
      </c>
      <c r="T6" s="23">
        <f>IF(19&gt;=Annahmen!$B$16,1,0)</f>
        <v/>
      </c>
      <c r="U6" s="23">
        <f>IF(20&gt;=Annahmen!$B$16,1,0)</f>
        <v/>
      </c>
      <c r="V6" s="23">
        <f>IF(21&gt;=Annahmen!$B$16,1,0)</f>
        <v/>
      </c>
      <c r="W6" s="23">
        <f>IF(22&gt;=Annahmen!$B$16,1,0)</f>
        <v/>
      </c>
      <c r="X6" s="23">
        <f>IF(23&gt;=Annahmen!$B$16,1,0)</f>
        <v/>
      </c>
      <c r="Y6" s="23">
        <f>IF(24&gt;=Annahmen!$B$16,1,0)</f>
        <v/>
      </c>
    </row>
    <row r="7">
      <c r="A7" s="5" t="inlineStr">
        <is>
          <t>Automatisierung aktiv (1 = ja)</t>
        </is>
      </c>
      <c r="B7" s="23">
        <f>IF(0&gt;=Annahmen!$B$39-1,1,0)</f>
        <v/>
      </c>
      <c r="C7" s="23">
        <f>IF(B12&gt;=Annahmen!$B$39-1,1,0)</f>
        <v/>
      </c>
      <c r="D7" s="23">
        <f>IF(C12&gt;=Annahmen!$B$39-1,1,0)</f>
        <v/>
      </c>
      <c r="E7" s="23">
        <f>IF(D12&gt;=Annahmen!$B$39-1,1,0)</f>
        <v/>
      </c>
      <c r="F7" s="23">
        <f>IF(E12&gt;=Annahmen!$B$39-1,1,0)</f>
        <v/>
      </c>
      <c r="G7" s="23">
        <f>IF(F12&gt;=Annahmen!$B$39-1,1,0)</f>
        <v/>
      </c>
      <c r="H7" s="23">
        <f>IF(G12&gt;=Annahmen!$B$39-1,1,0)</f>
        <v/>
      </c>
      <c r="I7" s="23">
        <f>IF(H12&gt;=Annahmen!$B$39-1,1,0)</f>
        <v/>
      </c>
      <c r="J7" s="23">
        <f>IF(I12&gt;=Annahmen!$B$39-1,1,0)</f>
        <v/>
      </c>
      <c r="K7" s="23">
        <f>IF(J12&gt;=Annahmen!$B$39-1,1,0)</f>
        <v/>
      </c>
      <c r="L7" s="23">
        <f>IF(K12&gt;=Annahmen!$B$39-1,1,0)</f>
        <v/>
      </c>
      <c r="M7" s="23">
        <f>IF(L12&gt;=Annahmen!$B$39-1,1,0)</f>
        <v/>
      </c>
      <c r="N7" s="23">
        <f>IF(M12&gt;=Annahmen!$B$39-1,1,0)</f>
        <v/>
      </c>
      <c r="O7" s="23">
        <f>IF(N12&gt;=Annahmen!$B$39-1,1,0)</f>
        <v/>
      </c>
      <c r="P7" s="23">
        <f>IF(O12&gt;=Annahmen!$B$39-1,1,0)</f>
        <v/>
      </c>
      <c r="Q7" s="23">
        <f>IF(P12&gt;=Annahmen!$B$39-1,1,0)</f>
        <v/>
      </c>
      <c r="R7" s="23">
        <f>IF(Q12&gt;=Annahmen!$B$39-1,1,0)</f>
        <v/>
      </c>
      <c r="S7" s="23">
        <f>IF(R12&gt;=Annahmen!$B$39-1,1,0)</f>
        <v/>
      </c>
      <c r="T7" s="23">
        <f>IF(S12&gt;=Annahmen!$B$39-1,1,0)</f>
        <v/>
      </c>
      <c r="U7" s="23">
        <f>IF(T12&gt;=Annahmen!$B$39-1,1,0)</f>
        <v/>
      </c>
      <c r="V7" s="23">
        <f>IF(U12&gt;=Annahmen!$B$39-1,1,0)</f>
        <v/>
      </c>
      <c r="W7" s="23">
        <f>IF(V12&gt;=Annahmen!$B$39-1,1,0)</f>
        <v/>
      </c>
      <c r="X7" s="23">
        <f>IF(W12&gt;=Annahmen!$B$39-1,1,0)</f>
        <v/>
      </c>
      <c r="Y7" s="23">
        <f>IF(X12&gt;=Annahmen!$B$39-1,1,0)</f>
        <v/>
      </c>
    </row>
    <row r="8">
      <c r="A8" s="5" t="inlineStr">
        <is>
          <t>Std. je neuem Abschluss</t>
        </is>
      </c>
      <c r="B8" s="22">
        <f>Annahmen!$B$12/(1-Annahmen!$B$15*(1-B6))*((Annahmen!$B$21+B7*(Annahmen!$B$30-Annahmen!$B$21))+(Annahmen!$B$25+B7*(Annahmen!$B$34-Annahmen!$B$25))+(Annahmen!$B$29+B7*(Annahmen!$B$38-Annahmen!$B$29)))+Annahmen!$B$13/(1-Annahmen!$B$15*(1-B6))*((Annahmen!$B$22+B7*(Annahmen!$B$31-Annahmen!$B$22))+(Annahmen!$B$26+B7*(Annahmen!$B$35-Annahmen!$B$26))+(Annahmen!$B$29+B7*(Annahmen!$B$38-Annahmen!$B$29)))+Annahmen!$B$14/(1-Annahmen!$B$15*(1-B6))*((Annahmen!$B$23+B7*(Annahmen!$B$32-Annahmen!$B$23))+(Annahmen!$B$27+B7*(Annahmen!$B$36-Annahmen!$B$27))+(Annahmen!$B$29+B7*(Annahmen!$B$38-Annahmen!$B$29)))+Annahmen!$B$15*B6*((Annahmen!$B$24+B7*(Annahmen!$B$33-Annahmen!$B$24))+(Annahmen!$B$28+B7*(Annahmen!$B$37-Annahmen!$B$28))+(Annahmen!$B$29+B7*(Annahmen!$B$38-Annahmen!$B$29)))</f>
        <v/>
      </c>
      <c r="C8" s="22">
        <f>Annahmen!$B$12/(1-Annahmen!$B$15*(1-C6))*((Annahmen!$B$21+C7*(Annahmen!$B$30-Annahmen!$B$21))+(Annahmen!$B$25+C7*(Annahmen!$B$34-Annahmen!$B$25))+(Annahmen!$B$29+C7*(Annahmen!$B$38-Annahmen!$B$29)))+Annahmen!$B$13/(1-Annahmen!$B$15*(1-C6))*((Annahmen!$B$22+C7*(Annahmen!$B$31-Annahmen!$B$22))+(Annahmen!$B$26+C7*(Annahmen!$B$35-Annahmen!$B$26))+(Annahmen!$B$29+C7*(Annahmen!$B$38-Annahmen!$B$29)))+Annahmen!$B$14/(1-Annahmen!$B$15*(1-C6))*((Annahmen!$B$23+C7*(Annahmen!$B$32-Annahmen!$B$23))+(Annahmen!$B$27+C7*(Annahmen!$B$36-Annahmen!$B$27))+(Annahmen!$B$29+C7*(Annahmen!$B$38-Annahmen!$B$29)))+Annahmen!$B$15*C6*((Annahmen!$B$24+C7*(Annahmen!$B$33-Annahmen!$B$24))+(Annahmen!$B$28+C7*(Annahmen!$B$37-Annahmen!$B$28))+(Annahmen!$B$29+C7*(Annahmen!$B$38-Annahmen!$B$29)))</f>
        <v/>
      </c>
      <c r="D8" s="22">
        <f>Annahmen!$B$12/(1-Annahmen!$B$15*(1-D6))*((Annahmen!$B$21+D7*(Annahmen!$B$30-Annahmen!$B$21))+(Annahmen!$B$25+D7*(Annahmen!$B$34-Annahmen!$B$25))+(Annahmen!$B$29+D7*(Annahmen!$B$38-Annahmen!$B$29)))+Annahmen!$B$13/(1-Annahmen!$B$15*(1-D6))*((Annahmen!$B$22+D7*(Annahmen!$B$31-Annahmen!$B$22))+(Annahmen!$B$26+D7*(Annahmen!$B$35-Annahmen!$B$26))+(Annahmen!$B$29+D7*(Annahmen!$B$38-Annahmen!$B$29)))+Annahmen!$B$14/(1-Annahmen!$B$15*(1-D6))*((Annahmen!$B$23+D7*(Annahmen!$B$32-Annahmen!$B$23))+(Annahmen!$B$27+D7*(Annahmen!$B$36-Annahmen!$B$27))+(Annahmen!$B$29+D7*(Annahmen!$B$38-Annahmen!$B$29)))+Annahmen!$B$15*D6*((Annahmen!$B$24+D7*(Annahmen!$B$33-Annahmen!$B$24))+(Annahmen!$B$28+D7*(Annahmen!$B$37-Annahmen!$B$28))+(Annahmen!$B$29+D7*(Annahmen!$B$38-Annahmen!$B$29)))</f>
        <v/>
      </c>
      <c r="E8" s="22">
        <f>Annahmen!$B$12/(1-Annahmen!$B$15*(1-E6))*((Annahmen!$B$21+E7*(Annahmen!$B$30-Annahmen!$B$21))+(Annahmen!$B$25+E7*(Annahmen!$B$34-Annahmen!$B$25))+(Annahmen!$B$29+E7*(Annahmen!$B$38-Annahmen!$B$29)))+Annahmen!$B$13/(1-Annahmen!$B$15*(1-E6))*((Annahmen!$B$22+E7*(Annahmen!$B$31-Annahmen!$B$22))+(Annahmen!$B$26+E7*(Annahmen!$B$35-Annahmen!$B$26))+(Annahmen!$B$29+E7*(Annahmen!$B$38-Annahmen!$B$29)))+Annahmen!$B$14/(1-Annahmen!$B$15*(1-E6))*((Annahmen!$B$23+E7*(Annahmen!$B$32-Annahmen!$B$23))+(Annahmen!$B$27+E7*(Annahmen!$B$36-Annahmen!$B$27))+(Annahmen!$B$29+E7*(Annahmen!$B$38-Annahmen!$B$29)))+Annahmen!$B$15*E6*((Annahmen!$B$24+E7*(Annahmen!$B$33-Annahmen!$B$24))+(Annahmen!$B$28+E7*(Annahmen!$B$37-Annahmen!$B$28))+(Annahmen!$B$29+E7*(Annahmen!$B$38-Annahmen!$B$29)))</f>
        <v/>
      </c>
      <c r="F8" s="22">
        <f>Annahmen!$B$12/(1-Annahmen!$B$15*(1-F6))*((Annahmen!$B$21+F7*(Annahmen!$B$30-Annahmen!$B$21))+(Annahmen!$B$25+F7*(Annahmen!$B$34-Annahmen!$B$25))+(Annahmen!$B$29+F7*(Annahmen!$B$38-Annahmen!$B$29)))+Annahmen!$B$13/(1-Annahmen!$B$15*(1-F6))*((Annahmen!$B$22+F7*(Annahmen!$B$31-Annahmen!$B$22))+(Annahmen!$B$26+F7*(Annahmen!$B$35-Annahmen!$B$26))+(Annahmen!$B$29+F7*(Annahmen!$B$38-Annahmen!$B$29)))+Annahmen!$B$14/(1-Annahmen!$B$15*(1-F6))*((Annahmen!$B$23+F7*(Annahmen!$B$32-Annahmen!$B$23))+(Annahmen!$B$27+F7*(Annahmen!$B$36-Annahmen!$B$27))+(Annahmen!$B$29+F7*(Annahmen!$B$38-Annahmen!$B$29)))+Annahmen!$B$15*F6*((Annahmen!$B$24+F7*(Annahmen!$B$33-Annahmen!$B$24))+(Annahmen!$B$28+F7*(Annahmen!$B$37-Annahmen!$B$28))+(Annahmen!$B$29+F7*(Annahmen!$B$38-Annahmen!$B$29)))</f>
        <v/>
      </c>
      <c r="G8" s="22">
        <f>Annahmen!$B$12/(1-Annahmen!$B$15*(1-G6))*((Annahmen!$B$21+G7*(Annahmen!$B$30-Annahmen!$B$21))+(Annahmen!$B$25+G7*(Annahmen!$B$34-Annahmen!$B$25))+(Annahmen!$B$29+G7*(Annahmen!$B$38-Annahmen!$B$29)))+Annahmen!$B$13/(1-Annahmen!$B$15*(1-G6))*((Annahmen!$B$22+G7*(Annahmen!$B$31-Annahmen!$B$22))+(Annahmen!$B$26+G7*(Annahmen!$B$35-Annahmen!$B$26))+(Annahmen!$B$29+G7*(Annahmen!$B$38-Annahmen!$B$29)))+Annahmen!$B$14/(1-Annahmen!$B$15*(1-G6))*((Annahmen!$B$23+G7*(Annahmen!$B$32-Annahmen!$B$23))+(Annahmen!$B$27+G7*(Annahmen!$B$36-Annahmen!$B$27))+(Annahmen!$B$29+G7*(Annahmen!$B$38-Annahmen!$B$29)))+Annahmen!$B$15*G6*((Annahmen!$B$24+G7*(Annahmen!$B$33-Annahmen!$B$24))+(Annahmen!$B$28+G7*(Annahmen!$B$37-Annahmen!$B$28))+(Annahmen!$B$29+G7*(Annahmen!$B$38-Annahmen!$B$29)))</f>
        <v/>
      </c>
      <c r="H8" s="22">
        <f>Annahmen!$B$12/(1-Annahmen!$B$15*(1-H6))*((Annahmen!$B$21+H7*(Annahmen!$B$30-Annahmen!$B$21))+(Annahmen!$B$25+H7*(Annahmen!$B$34-Annahmen!$B$25))+(Annahmen!$B$29+H7*(Annahmen!$B$38-Annahmen!$B$29)))+Annahmen!$B$13/(1-Annahmen!$B$15*(1-H6))*((Annahmen!$B$22+H7*(Annahmen!$B$31-Annahmen!$B$22))+(Annahmen!$B$26+H7*(Annahmen!$B$35-Annahmen!$B$26))+(Annahmen!$B$29+H7*(Annahmen!$B$38-Annahmen!$B$29)))+Annahmen!$B$14/(1-Annahmen!$B$15*(1-H6))*((Annahmen!$B$23+H7*(Annahmen!$B$32-Annahmen!$B$23))+(Annahmen!$B$27+H7*(Annahmen!$B$36-Annahmen!$B$27))+(Annahmen!$B$29+H7*(Annahmen!$B$38-Annahmen!$B$29)))+Annahmen!$B$15*H6*((Annahmen!$B$24+H7*(Annahmen!$B$33-Annahmen!$B$24))+(Annahmen!$B$28+H7*(Annahmen!$B$37-Annahmen!$B$28))+(Annahmen!$B$29+H7*(Annahmen!$B$38-Annahmen!$B$29)))</f>
        <v/>
      </c>
      <c r="I8" s="22">
        <f>Annahmen!$B$12/(1-Annahmen!$B$15*(1-I6))*((Annahmen!$B$21+I7*(Annahmen!$B$30-Annahmen!$B$21))+(Annahmen!$B$25+I7*(Annahmen!$B$34-Annahmen!$B$25))+(Annahmen!$B$29+I7*(Annahmen!$B$38-Annahmen!$B$29)))+Annahmen!$B$13/(1-Annahmen!$B$15*(1-I6))*((Annahmen!$B$22+I7*(Annahmen!$B$31-Annahmen!$B$22))+(Annahmen!$B$26+I7*(Annahmen!$B$35-Annahmen!$B$26))+(Annahmen!$B$29+I7*(Annahmen!$B$38-Annahmen!$B$29)))+Annahmen!$B$14/(1-Annahmen!$B$15*(1-I6))*((Annahmen!$B$23+I7*(Annahmen!$B$32-Annahmen!$B$23))+(Annahmen!$B$27+I7*(Annahmen!$B$36-Annahmen!$B$27))+(Annahmen!$B$29+I7*(Annahmen!$B$38-Annahmen!$B$29)))+Annahmen!$B$15*I6*((Annahmen!$B$24+I7*(Annahmen!$B$33-Annahmen!$B$24))+(Annahmen!$B$28+I7*(Annahmen!$B$37-Annahmen!$B$28))+(Annahmen!$B$29+I7*(Annahmen!$B$38-Annahmen!$B$29)))</f>
        <v/>
      </c>
      <c r="J8" s="22">
        <f>Annahmen!$B$12/(1-Annahmen!$B$15*(1-J6))*((Annahmen!$B$21+J7*(Annahmen!$B$30-Annahmen!$B$21))+(Annahmen!$B$25+J7*(Annahmen!$B$34-Annahmen!$B$25))+(Annahmen!$B$29+J7*(Annahmen!$B$38-Annahmen!$B$29)))+Annahmen!$B$13/(1-Annahmen!$B$15*(1-J6))*((Annahmen!$B$22+J7*(Annahmen!$B$31-Annahmen!$B$22))+(Annahmen!$B$26+J7*(Annahmen!$B$35-Annahmen!$B$26))+(Annahmen!$B$29+J7*(Annahmen!$B$38-Annahmen!$B$29)))+Annahmen!$B$14/(1-Annahmen!$B$15*(1-J6))*((Annahmen!$B$23+J7*(Annahmen!$B$32-Annahmen!$B$23))+(Annahmen!$B$27+J7*(Annahmen!$B$36-Annahmen!$B$27))+(Annahmen!$B$29+J7*(Annahmen!$B$38-Annahmen!$B$29)))+Annahmen!$B$15*J6*((Annahmen!$B$24+J7*(Annahmen!$B$33-Annahmen!$B$24))+(Annahmen!$B$28+J7*(Annahmen!$B$37-Annahmen!$B$28))+(Annahmen!$B$29+J7*(Annahmen!$B$38-Annahmen!$B$29)))</f>
        <v/>
      </c>
      <c r="K8" s="22">
        <f>Annahmen!$B$12/(1-Annahmen!$B$15*(1-K6))*((Annahmen!$B$21+K7*(Annahmen!$B$30-Annahmen!$B$21))+(Annahmen!$B$25+K7*(Annahmen!$B$34-Annahmen!$B$25))+(Annahmen!$B$29+K7*(Annahmen!$B$38-Annahmen!$B$29)))+Annahmen!$B$13/(1-Annahmen!$B$15*(1-K6))*((Annahmen!$B$22+K7*(Annahmen!$B$31-Annahmen!$B$22))+(Annahmen!$B$26+K7*(Annahmen!$B$35-Annahmen!$B$26))+(Annahmen!$B$29+K7*(Annahmen!$B$38-Annahmen!$B$29)))+Annahmen!$B$14/(1-Annahmen!$B$15*(1-K6))*((Annahmen!$B$23+K7*(Annahmen!$B$32-Annahmen!$B$23))+(Annahmen!$B$27+K7*(Annahmen!$B$36-Annahmen!$B$27))+(Annahmen!$B$29+K7*(Annahmen!$B$38-Annahmen!$B$29)))+Annahmen!$B$15*K6*((Annahmen!$B$24+K7*(Annahmen!$B$33-Annahmen!$B$24))+(Annahmen!$B$28+K7*(Annahmen!$B$37-Annahmen!$B$28))+(Annahmen!$B$29+K7*(Annahmen!$B$38-Annahmen!$B$29)))</f>
        <v/>
      </c>
      <c r="L8" s="22">
        <f>Annahmen!$B$12/(1-Annahmen!$B$15*(1-L6))*((Annahmen!$B$21+L7*(Annahmen!$B$30-Annahmen!$B$21))+(Annahmen!$B$25+L7*(Annahmen!$B$34-Annahmen!$B$25))+(Annahmen!$B$29+L7*(Annahmen!$B$38-Annahmen!$B$29)))+Annahmen!$B$13/(1-Annahmen!$B$15*(1-L6))*((Annahmen!$B$22+L7*(Annahmen!$B$31-Annahmen!$B$22))+(Annahmen!$B$26+L7*(Annahmen!$B$35-Annahmen!$B$26))+(Annahmen!$B$29+L7*(Annahmen!$B$38-Annahmen!$B$29)))+Annahmen!$B$14/(1-Annahmen!$B$15*(1-L6))*((Annahmen!$B$23+L7*(Annahmen!$B$32-Annahmen!$B$23))+(Annahmen!$B$27+L7*(Annahmen!$B$36-Annahmen!$B$27))+(Annahmen!$B$29+L7*(Annahmen!$B$38-Annahmen!$B$29)))+Annahmen!$B$15*L6*((Annahmen!$B$24+L7*(Annahmen!$B$33-Annahmen!$B$24))+(Annahmen!$B$28+L7*(Annahmen!$B$37-Annahmen!$B$28))+(Annahmen!$B$29+L7*(Annahmen!$B$38-Annahmen!$B$29)))</f>
        <v/>
      </c>
      <c r="M8" s="22">
        <f>Annahmen!$B$12/(1-Annahmen!$B$15*(1-M6))*((Annahmen!$B$21+M7*(Annahmen!$B$30-Annahmen!$B$21))+(Annahmen!$B$25+M7*(Annahmen!$B$34-Annahmen!$B$25))+(Annahmen!$B$29+M7*(Annahmen!$B$38-Annahmen!$B$29)))+Annahmen!$B$13/(1-Annahmen!$B$15*(1-M6))*((Annahmen!$B$22+M7*(Annahmen!$B$31-Annahmen!$B$22))+(Annahmen!$B$26+M7*(Annahmen!$B$35-Annahmen!$B$26))+(Annahmen!$B$29+M7*(Annahmen!$B$38-Annahmen!$B$29)))+Annahmen!$B$14/(1-Annahmen!$B$15*(1-M6))*((Annahmen!$B$23+M7*(Annahmen!$B$32-Annahmen!$B$23))+(Annahmen!$B$27+M7*(Annahmen!$B$36-Annahmen!$B$27))+(Annahmen!$B$29+M7*(Annahmen!$B$38-Annahmen!$B$29)))+Annahmen!$B$15*M6*((Annahmen!$B$24+M7*(Annahmen!$B$33-Annahmen!$B$24))+(Annahmen!$B$28+M7*(Annahmen!$B$37-Annahmen!$B$28))+(Annahmen!$B$29+M7*(Annahmen!$B$38-Annahmen!$B$29)))</f>
        <v/>
      </c>
      <c r="N8" s="22">
        <f>Annahmen!$B$12/(1-Annahmen!$B$15*(1-N6))*((Annahmen!$B$21+N7*(Annahmen!$B$30-Annahmen!$B$21))+(Annahmen!$B$25+N7*(Annahmen!$B$34-Annahmen!$B$25))+(Annahmen!$B$29+N7*(Annahmen!$B$38-Annahmen!$B$29)))+Annahmen!$B$13/(1-Annahmen!$B$15*(1-N6))*((Annahmen!$B$22+N7*(Annahmen!$B$31-Annahmen!$B$22))+(Annahmen!$B$26+N7*(Annahmen!$B$35-Annahmen!$B$26))+(Annahmen!$B$29+N7*(Annahmen!$B$38-Annahmen!$B$29)))+Annahmen!$B$14/(1-Annahmen!$B$15*(1-N6))*((Annahmen!$B$23+N7*(Annahmen!$B$32-Annahmen!$B$23))+(Annahmen!$B$27+N7*(Annahmen!$B$36-Annahmen!$B$27))+(Annahmen!$B$29+N7*(Annahmen!$B$38-Annahmen!$B$29)))+Annahmen!$B$15*N6*((Annahmen!$B$24+N7*(Annahmen!$B$33-Annahmen!$B$24))+(Annahmen!$B$28+N7*(Annahmen!$B$37-Annahmen!$B$28))+(Annahmen!$B$29+N7*(Annahmen!$B$38-Annahmen!$B$29)))</f>
        <v/>
      </c>
      <c r="O8" s="22">
        <f>Annahmen!$B$12/(1-Annahmen!$B$15*(1-O6))*((Annahmen!$B$21+O7*(Annahmen!$B$30-Annahmen!$B$21))+(Annahmen!$B$25+O7*(Annahmen!$B$34-Annahmen!$B$25))+(Annahmen!$B$29+O7*(Annahmen!$B$38-Annahmen!$B$29)))+Annahmen!$B$13/(1-Annahmen!$B$15*(1-O6))*((Annahmen!$B$22+O7*(Annahmen!$B$31-Annahmen!$B$22))+(Annahmen!$B$26+O7*(Annahmen!$B$35-Annahmen!$B$26))+(Annahmen!$B$29+O7*(Annahmen!$B$38-Annahmen!$B$29)))+Annahmen!$B$14/(1-Annahmen!$B$15*(1-O6))*((Annahmen!$B$23+O7*(Annahmen!$B$32-Annahmen!$B$23))+(Annahmen!$B$27+O7*(Annahmen!$B$36-Annahmen!$B$27))+(Annahmen!$B$29+O7*(Annahmen!$B$38-Annahmen!$B$29)))+Annahmen!$B$15*O6*((Annahmen!$B$24+O7*(Annahmen!$B$33-Annahmen!$B$24))+(Annahmen!$B$28+O7*(Annahmen!$B$37-Annahmen!$B$28))+(Annahmen!$B$29+O7*(Annahmen!$B$38-Annahmen!$B$29)))</f>
        <v/>
      </c>
      <c r="P8" s="22">
        <f>Annahmen!$B$12/(1-Annahmen!$B$15*(1-P6))*((Annahmen!$B$21+P7*(Annahmen!$B$30-Annahmen!$B$21))+(Annahmen!$B$25+P7*(Annahmen!$B$34-Annahmen!$B$25))+(Annahmen!$B$29+P7*(Annahmen!$B$38-Annahmen!$B$29)))+Annahmen!$B$13/(1-Annahmen!$B$15*(1-P6))*((Annahmen!$B$22+P7*(Annahmen!$B$31-Annahmen!$B$22))+(Annahmen!$B$26+P7*(Annahmen!$B$35-Annahmen!$B$26))+(Annahmen!$B$29+P7*(Annahmen!$B$38-Annahmen!$B$29)))+Annahmen!$B$14/(1-Annahmen!$B$15*(1-P6))*((Annahmen!$B$23+P7*(Annahmen!$B$32-Annahmen!$B$23))+(Annahmen!$B$27+P7*(Annahmen!$B$36-Annahmen!$B$27))+(Annahmen!$B$29+P7*(Annahmen!$B$38-Annahmen!$B$29)))+Annahmen!$B$15*P6*((Annahmen!$B$24+P7*(Annahmen!$B$33-Annahmen!$B$24))+(Annahmen!$B$28+P7*(Annahmen!$B$37-Annahmen!$B$28))+(Annahmen!$B$29+P7*(Annahmen!$B$38-Annahmen!$B$29)))</f>
        <v/>
      </c>
      <c r="Q8" s="22">
        <f>Annahmen!$B$12/(1-Annahmen!$B$15*(1-Q6))*((Annahmen!$B$21+Q7*(Annahmen!$B$30-Annahmen!$B$21))+(Annahmen!$B$25+Q7*(Annahmen!$B$34-Annahmen!$B$25))+(Annahmen!$B$29+Q7*(Annahmen!$B$38-Annahmen!$B$29)))+Annahmen!$B$13/(1-Annahmen!$B$15*(1-Q6))*((Annahmen!$B$22+Q7*(Annahmen!$B$31-Annahmen!$B$22))+(Annahmen!$B$26+Q7*(Annahmen!$B$35-Annahmen!$B$26))+(Annahmen!$B$29+Q7*(Annahmen!$B$38-Annahmen!$B$29)))+Annahmen!$B$14/(1-Annahmen!$B$15*(1-Q6))*((Annahmen!$B$23+Q7*(Annahmen!$B$32-Annahmen!$B$23))+(Annahmen!$B$27+Q7*(Annahmen!$B$36-Annahmen!$B$27))+(Annahmen!$B$29+Q7*(Annahmen!$B$38-Annahmen!$B$29)))+Annahmen!$B$15*Q6*((Annahmen!$B$24+Q7*(Annahmen!$B$33-Annahmen!$B$24))+(Annahmen!$B$28+Q7*(Annahmen!$B$37-Annahmen!$B$28))+(Annahmen!$B$29+Q7*(Annahmen!$B$38-Annahmen!$B$29)))</f>
        <v/>
      </c>
      <c r="R8" s="22">
        <f>Annahmen!$B$12/(1-Annahmen!$B$15*(1-R6))*((Annahmen!$B$21+R7*(Annahmen!$B$30-Annahmen!$B$21))+(Annahmen!$B$25+R7*(Annahmen!$B$34-Annahmen!$B$25))+(Annahmen!$B$29+R7*(Annahmen!$B$38-Annahmen!$B$29)))+Annahmen!$B$13/(1-Annahmen!$B$15*(1-R6))*((Annahmen!$B$22+R7*(Annahmen!$B$31-Annahmen!$B$22))+(Annahmen!$B$26+R7*(Annahmen!$B$35-Annahmen!$B$26))+(Annahmen!$B$29+R7*(Annahmen!$B$38-Annahmen!$B$29)))+Annahmen!$B$14/(1-Annahmen!$B$15*(1-R6))*((Annahmen!$B$23+R7*(Annahmen!$B$32-Annahmen!$B$23))+(Annahmen!$B$27+R7*(Annahmen!$B$36-Annahmen!$B$27))+(Annahmen!$B$29+R7*(Annahmen!$B$38-Annahmen!$B$29)))+Annahmen!$B$15*R6*((Annahmen!$B$24+R7*(Annahmen!$B$33-Annahmen!$B$24))+(Annahmen!$B$28+R7*(Annahmen!$B$37-Annahmen!$B$28))+(Annahmen!$B$29+R7*(Annahmen!$B$38-Annahmen!$B$29)))</f>
        <v/>
      </c>
      <c r="S8" s="22">
        <f>Annahmen!$B$12/(1-Annahmen!$B$15*(1-S6))*((Annahmen!$B$21+S7*(Annahmen!$B$30-Annahmen!$B$21))+(Annahmen!$B$25+S7*(Annahmen!$B$34-Annahmen!$B$25))+(Annahmen!$B$29+S7*(Annahmen!$B$38-Annahmen!$B$29)))+Annahmen!$B$13/(1-Annahmen!$B$15*(1-S6))*((Annahmen!$B$22+S7*(Annahmen!$B$31-Annahmen!$B$22))+(Annahmen!$B$26+S7*(Annahmen!$B$35-Annahmen!$B$26))+(Annahmen!$B$29+S7*(Annahmen!$B$38-Annahmen!$B$29)))+Annahmen!$B$14/(1-Annahmen!$B$15*(1-S6))*((Annahmen!$B$23+S7*(Annahmen!$B$32-Annahmen!$B$23))+(Annahmen!$B$27+S7*(Annahmen!$B$36-Annahmen!$B$27))+(Annahmen!$B$29+S7*(Annahmen!$B$38-Annahmen!$B$29)))+Annahmen!$B$15*S6*((Annahmen!$B$24+S7*(Annahmen!$B$33-Annahmen!$B$24))+(Annahmen!$B$28+S7*(Annahmen!$B$37-Annahmen!$B$28))+(Annahmen!$B$29+S7*(Annahmen!$B$38-Annahmen!$B$29)))</f>
        <v/>
      </c>
      <c r="T8" s="22">
        <f>Annahmen!$B$12/(1-Annahmen!$B$15*(1-T6))*((Annahmen!$B$21+T7*(Annahmen!$B$30-Annahmen!$B$21))+(Annahmen!$B$25+T7*(Annahmen!$B$34-Annahmen!$B$25))+(Annahmen!$B$29+T7*(Annahmen!$B$38-Annahmen!$B$29)))+Annahmen!$B$13/(1-Annahmen!$B$15*(1-T6))*((Annahmen!$B$22+T7*(Annahmen!$B$31-Annahmen!$B$22))+(Annahmen!$B$26+T7*(Annahmen!$B$35-Annahmen!$B$26))+(Annahmen!$B$29+T7*(Annahmen!$B$38-Annahmen!$B$29)))+Annahmen!$B$14/(1-Annahmen!$B$15*(1-T6))*((Annahmen!$B$23+T7*(Annahmen!$B$32-Annahmen!$B$23))+(Annahmen!$B$27+T7*(Annahmen!$B$36-Annahmen!$B$27))+(Annahmen!$B$29+T7*(Annahmen!$B$38-Annahmen!$B$29)))+Annahmen!$B$15*T6*((Annahmen!$B$24+T7*(Annahmen!$B$33-Annahmen!$B$24))+(Annahmen!$B$28+T7*(Annahmen!$B$37-Annahmen!$B$28))+(Annahmen!$B$29+T7*(Annahmen!$B$38-Annahmen!$B$29)))</f>
        <v/>
      </c>
      <c r="U8" s="22">
        <f>Annahmen!$B$12/(1-Annahmen!$B$15*(1-U6))*((Annahmen!$B$21+U7*(Annahmen!$B$30-Annahmen!$B$21))+(Annahmen!$B$25+U7*(Annahmen!$B$34-Annahmen!$B$25))+(Annahmen!$B$29+U7*(Annahmen!$B$38-Annahmen!$B$29)))+Annahmen!$B$13/(1-Annahmen!$B$15*(1-U6))*((Annahmen!$B$22+U7*(Annahmen!$B$31-Annahmen!$B$22))+(Annahmen!$B$26+U7*(Annahmen!$B$35-Annahmen!$B$26))+(Annahmen!$B$29+U7*(Annahmen!$B$38-Annahmen!$B$29)))+Annahmen!$B$14/(1-Annahmen!$B$15*(1-U6))*((Annahmen!$B$23+U7*(Annahmen!$B$32-Annahmen!$B$23))+(Annahmen!$B$27+U7*(Annahmen!$B$36-Annahmen!$B$27))+(Annahmen!$B$29+U7*(Annahmen!$B$38-Annahmen!$B$29)))+Annahmen!$B$15*U6*((Annahmen!$B$24+U7*(Annahmen!$B$33-Annahmen!$B$24))+(Annahmen!$B$28+U7*(Annahmen!$B$37-Annahmen!$B$28))+(Annahmen!$B$29+U7*(Annahmen!$B$38-Annahmen!$B$29)))</f>
        <v/>
      </c>
      <c r="V8" s="22">
        <f>Annahmen!$B$12/(1-Annahmen!$B$15*(1-V6))*((Annahmen!$B$21+V7*(Annahmen!$B$30-Annahmen!$B$21))+(Annahmen!$B$25+V7*(Annahmen!$B$34-Annahmen!$B$25))+(Annahmen!$B$29+V7*(Annahmen!$B$38-Annahmen!$B$29)))+Annahmen!$B$13/(1-Annahmen!$B$15*(1-V6))*((Annahmen!$B$22+V7*(Annahmen!$B$31-Annahmen!$B$22))+(Annahmen!$B$26+V7*(Annahmen!$B$35-Annahmen!$B$26))+(Annahmen!$B$29+V7*(Annahmen!$B$38-Annahmen!$B$29)))+Annahmen!$B$14/(1-Annahmen!$B$15*(1-V6))*((Annahmen!$B$23+V7*(Annahmen!$B$32-Annahmen!$B$23))+(Annahmen!$B$27+V7*(Annahmen!$B$36-Annahmen!$B$27))+(Annahmen!$B$29+V7*(Annahmen!$B$38-Annahmen!$B$29)))+Annahmen!$B$15*V6*((Annahmen!$B$24+V7*(Annahmen!$B$33-Annahmen!$B$24))+(Annahmen!$B$28+V7*(Annahmen!$B$37-Annahmen!$B$28))+(Annahmen!$B$29+V7*(Annahmen!$B$38-Annahmen!$B$29)))</f>
        <v/>
      </c>
      <c r="W8" s="22">
        <f>Annahmen!$B$12/(1-Annahmen!$B$15*(1-W6))*((Annahmen!$B$21+W7*(Annahmen!$B$30-Annahmen!$B$21))+(Annahmen!$B$25+W7*(Annahmen!$B$34-Annahmen!$B$25))+(Annahmen!$B$29+W7*(Annahmen!$B$38-Annahmen!$B$29)))+Annahmen!$B$13/(1-Annahmen!$B$15*(1-W6))*((Annahmen!$B$22+W7*(Annahmen!$B$31-Annahmen!$B$22))+(Annahmen!$B$26+W7*(Annahmen!$B$35-Annahmen!$B$26))+(Annahmen!$B$29+W7*(Annahmen!$B$38-Annahmen!$B$29)))+Annahmen!$B$14/(1-Annahmen!$B$15*(1-W6))*((Annahmen!$B$23+W7*(Annahmen!$B$32-Annahmen!$B$23))+(Annahmen!$B$27+W7*(Annahmen!$B$36-Annahmen!$B$27))+(Annahmen!$B$29+W7*(Annahmen!$B$38-Annahmen!$B$29)))+Annahmen!$B$15*W6*((Annahmen!$B$24+W7*(Annahmen!$B$33-Annahmen!$B$24))+(Annahmen!$B$28+W7*(Annahmen!$B$37-Annahmen!$B$28))+(Annahmen!$B$29+W7*(Annahmen!$B$38-Annahmen!$B$29)))</f>
        <v/>
      </c>
      <c r="X8" s="22">
        <f>Annahmen!$B$12/(1-Annahmen!$B$15*(1-X6))*((Annahmen!$B$21+X7*(Annahmen!$B$30-Annahmen!$B$21))+(Annahmen!$B$25+X7*(Annahmen!$B$34-Annahmen!$B$25))+(Annahmen!$B$29+X7*(Annahmen!$B$38-Annahmen!$B$29)))+Annahmen!$B$13/(1-Annahmen!$B$15*(1-X6))*((Annahmen!$B$22+X7*(Annahmen!$B$31-Annahmen!$B$22))+(Annahmen!$B$26+X7*(Annahmen!$B$35-Annahmen!$B$26))+(Annahmen!$B$29+X7*(Annahmen!$B$38-Annahmen!$B$29)))+Annahmen!$B$14/(1-Annahmen!$B$15*(1-X6))*((Annahmen!$B$23+X7*(Annahmen!$B$32-Annahmen!$B$23))+(Annahmen!$B$27+X7*(Annahmen!$B$36-Annahmen!$B$27))+(Annahmen!$B$29+X7*(Annahmen!$B$38-Annahmen!$B$29)))+Annahmen!$B$15*X6*((Annahmen!$B$24+X7*(Annahmen!$B$33-Annahmen!$B$24))+(Annahmen!$B$28+X7*(Annahmen!$B$37-Annahmen!$B$28))+(Annahmen!$B$29+X7*(Annahmen!$B$38-Annahmen!$B$29)))</f>
        <v/>
      </c>
      <c r="Y8" s="22">
        <f>Annahmen!$B$12/(1-Annahmen!$B$15*(1-Y6))*((Annahmen!$B$21+Y7*(Annahmen!$B$30-Annahmen!$B$21))+(Annahmen!$B$25+Y7*(Annahmen!$B$34-Annahmen!$B$25))+(Annahmen!$B$29+Y7*(Annahmen!$B$38-Annahmen!$B$29)))+Annahmen!$B$13/(1-Annahmen!$B$15*(1-Y6))*((Annahmen!$B$22+Y7*(Annahmen!$B$31-Annahmen!$B$22))+(Annahmen!$B$26+Y7*(Annahmen!$B$35-Annahmen!$B$26))+(Annahmen!$B$29+Y7*(Annahmen!$B$38-Annahmen!$B$29)))+Annahmen!$B$14/(1-Annahmen!$B$15*(1-Y6))*((Annahmen!$B$23+Y7*(Annahmen!$B$32-Annahmen!$B$23))+(Annahmen!$B$27+Y7*(Annahmen!$B$36-Annahmen!$B$27))+(Annahmen!$B$29+Y7*(Annahmen!$B$38-Annahmen!$B$29)))+Annahmen!$B$15*Y6*((Annahmen!$B$24+Y7*(Annahmen!$B$33-Annahmen!$B$24))+(Annahmen!$B$28+Y7*(Annahmen!$B$37-Annahmen!$B$28))+(Annahmen!$B$29+Y7*(Annahmen!$B$38-Annahmen!$B$29)))</f>
        <v/>
      </c>
    </row>
    <row r="9">
      <c r="A9" s="5" t="inlineStr">
        <is>
          <t>Laufende Stunden (Bestand)</t>
        </is>
      </c>
      <c r="B9" s="22">
        <f>0*(Annahmen!$B$25+B7*(Annahmen!$B$34-Annahmen!$B$25))+0*(Annahmen!$B$26+B7*(Annahmen!$B$35-Annahmen!$B$26))+0*(Annahmen!$B$27+B7*(Annahmen!$B$36-Annahmen!$B$27))+0*(Annahmen!$B$28+B7*(Annahmen!$B$37-Annahmen!$B$28))</f>
        <v/>
      </c>
      <c r="C9" s="22">
        <f>B14*(Annahmen!$B$25+C7*(Annahmen!$B$34-Annahmen!$B$25))+B15*(Annahmen!$B$26+C7*(Annahmen!$B$35-Annahmen!$B$26))+B16*(Annahmen!$B$27+C7*(Annahmen!$B$36-Annahmen!$B$27))+B17*(Annahmen!$B$28+C7*(Annahmen!$B$37-Annahmen!$B$28))</f>
        <v/>
      </c>
      <c r="D9" s="22">
        <f>C14*(Annahmen!$B$25+D7*(Annahmen!$B$34-Annahmen!$B$25))+C15*(Annahmen!$B$26+D7*(Annahmen!$B$35-Annahmen!$B$26))+C16*(Annahmen!$B$27+D7*(Annahmen!$B$36-Annahmen!$B$27))+C17*(Annahmen!$B$28+D7*(Annahmen!$B$37-Annahmen!$B$28))</f>
        <v/>
      </c>
      <c r="E9" s="22">
        <f>D14*(Annahmen!$B$25+E7*(Annahmen!$B$34-Annahmen!$B$25))+D15*(Annahmen!$B$26+E7*(Annahmen!$B$35-Annahmen!$B$26))+D16*(Annahmen!$B$27+E7*(Annahmen!$B$36-Annahmen!$B$27))+D17*(Annahmen!$B$28+E7*(Annahmen!$B$37-Annahmen!$B$28))</f>
        <v/>
      </c>
      <c r="F9" s="22">
        <f>E14*(Annahmen!$B$25+F7*(Annahmen!$B$34-Annahmen!$B$25))+E15*(Annahmen!$B$26+F7*(Annahmen!$B$35-Annahmen!$B$26))+E16*(Annahmen!$B$27+F7*(Annahmen!$B$36-Annahmen!$B$27))+E17*(Annahmen!$B$28+F7*(Annahmen!$B$37-Annahmen!$B$28))</f>
        <v/>
      </c>
      <c r="G9" s="22">
        <f>F14*(Annahmen!$B$25+G7*(Annahmen!$B$34-Annahmen!$B$25))+F15*(Annahmen!$B$26+G7*(Annahmen!$B$35-Annahmen!$B$26))+F16*(Annahmen!$B$27+G7*(Annahmen!$B$36-Annahmen!$B$27))+F17*(Annahmen!$B$28+G7*(Annahmen!$B$37-Annahmen!$B$28))</f>
        <v/>
      </c>
      <c r="H9" s="22">
        <f>G14*(Annahmen!$B$25+H7*(Annahmen!$B$34-Annahmen!$B$25))+G15*(Annahmen!$B$26+H7*(Annahmen!$B$35-Annahmen!$B$26))+G16*(Annahmen!$B$27+H7*(Annahmen!$B$36-Annahmen!$B$27))+G17*(Annahmen!$B$28+H7*(Annahmen!$B$37-Annahmen!$B$28))</f>
        <v/>
      </c>
      <c r="I9" s="22">
        <f>H14*(Annahmen!$B$25+I7*(Annahmen!$B$34-Annahmen!$B$25))+H15*(Annahmen!$B$26+I7*(Annahmen!$B$35-Annahmen!$B$26))+H16*(Annahmen!$B$27+I7*(Annahmen!$B$36-Annahmen!$B$27))+H17*(Annahmen!$B$28+I7*(Annahmen!$B$37-Annahmen!$B$28))</f>
        <v/>
      </c>
      <c r="J9" s="22">
        <f>I14*(Annahmen!$B$25+J7*(Annahmen!$B$34-Annahmen!$B$25))+I15*(Annahmen!$B$26+J7*(Annahmen!$B$35-Annahmen!$B$26))+I16*(Annahmen!$B$27+J7*(Annahmen!$B$36-Annahmen!$B$27))+I17*(Annahmen!$B$28+J7*(Annahmen!$B$37-Annahmen!$B$28))</f>
        <v/>
      </c>
      <c r="K9" s="22">
        <f>J14*(Annahmen!$B$25+K7*(Annahmen!$B$34-Annahmen!$B$25))+J15*(Annahmen!$B$26+K7*(Annahmen!$B$35-Annahmen!$B$26))+J16*(Annahmen!$B$27+K7*(Annahmen!$B$36-Annahmen!$B$27))+J17*(Annahmen!$B$28+K7*(Annahmen!$B$37-Annahmen!$B$28))</f>
        <v/>
      </c>
      <c r="L9" s="22">
        <f>K14*(Annahmen!$B$25+L7*(Annahmen!$B$34-Annahmen!$B$25))+K15*(Annahmen!$B$26+L7*(Annahmen!$B$35-Annahmen!$B$26))+K16*(Annahmen!$B$27+L7*(Annahmen!$B$36-Annahmen!$B$27))+K17*(Annahmen!$B$28+L7*(Annahmen!$B$37-Annahmen!$B$28))</f>
        <v/>
      </c>
      <c r="M9" s="22">
        <f>L14*(Annahmen!$B$25+M7*(Annahmen!$B$34-Annahmen!$B$25))+L15*(Annahmen!$B$26+M7*(Annahmen!$B$35-Annahmen!$B$26))+L16*(Annahmen!$B$27+M7*(Annahmen!$B$36-Annahmen!$B$27))+L17*(Annahmen!$B$28+M7*(Annahmen!$B$37-Annahmen!$B$28))</f>
        <v/>
      </c>
      <c r="N9" s="22">
        <f>M14*(Annahmen!$B$25+N7*(Annahmen!$B$34-Annahmen!$B$25))+M15*(Annahmen!$B$26+N7*(Annahmen!$B$35-Annahmen!$B$26))+M16*(Annahmen!$B$27+N7*(Annahmen!$B$36-Annahmen!$B$27))+M17*(Annahmen!$B$28+N7*(Annahmen!$B$37-Annahmen!$B$28))</f>
        <v/>
      </c>
      <c r="O9" s="22">
        <f>N14*(Annahmen!$B$25+O7*(Annahmen!$B$34-Annahmen!$B$25))+N15*(Annahmen!$B$26+O7*(Annahmen!$B$35-Annahmen!$B$26))+N16*(Annahmen!$B$27+O7*(Annahmen!$B$36-Annahmen!$B$27))+N17*(Annahmen!$B$28+O7*(Annahmen!$B$37-Annahmen!$B$28))</f>
        <v/>
      </c>
      <c r="P9" s="22">
        <f>O14*(Annahmen!$B$25+P7*(Annahmen!$B$34-Annahmen!$B$25))+O15*(Annahmen!$B$26+P7*(Annahmen!$B$35-Annahmen!$B$26))+O16*(Annahmen!$B$27+P7*(Annahmen!$B$36-Annahmen!$B$27))+O17*(Annahmen!$B$28+P7*(Annahmen!$B$37-Annahmen!$B$28))</f>
        <v/>
      </c>
      <c r="Q9" s="22">
        <f>P14*(Annahmen!$B$25+Q7*(Annahmen!$B$34-Annahmen!$B$25))+P15*(Annahmen!$B$26+Q7*(Annahmen!$B$35-Annahmen!$B$26))+P16*(Annahmen!$B$27+Q7*(Annahmen!$B$36-Annahmen!$B$27))+P17*(Annahmen!$B$28+Q7*(Annahmen!$B$37-Annahmen!$B$28))</f>
        <v/>
      </c>
      <c r="R9" s="22">
        <f>Q14*(Annahmen!$B$25+R7*(Annahmen!$B$34-Annahmen!$B$25))+Q15*(Annahmen!$B$26+R7*(Annahmen!$B$35-Annahmen!$B$26))+Q16*(Annahmen!$B$27+R7*(Annahmen!$B$36-Annahmen!$B$27))+Q17*(Annahmen!$B$28+R7*(Annahmen!$B$37-Annahmen!$B$28))</f>
        <v/>
      </c>
      <c r="S9" s="22">
        <f>R14*(Annahmen!$B$25+S7*(Annahmen!$B$34-Annahmen!$B$25))+R15*(Annahmen!$B$26+S7*(Annahmen!$B$35-Annahmen!$B$26))+R16*(Annahmen!$B$27+S7*(Annahmen!$B$36-Annahmen!$B$27))+R17*(Annahmen!$B$28+S7*(Annahmen!$B$37-Annahmen!$B$28))</f>
        <v/>
      </c>
      <c r="T9" s="22">
        <f>S14*(Annahmen!$B$25+T7*(Annahmen!$B$34-Annahmen!$B$25))+S15*(Annahmen!$B$26+T7*(Annahmen!$B$35-Annahmen!$B$26))+S16*(Annahmen!$B$27+T7*(Annahmen!$B$36-Annahmen!$B$27))+S17*(Annahmen!$B$28+T7*(Annahmen!$B$37-Annahmen!$B$28))</f>
        <v/>
      </c>
      <c r="U9" s="22">
        <f>T14*(Annahmen!$B$25+U7*(Annahmen!$B$34-Annahmen!$B$25))+T15*(Annahmen!$B$26+U7*(Annahmen!$B$35-Annahmen!$B$26))+T16*(Annahmen!$B$27+U7*(Annahmen!$B$36-Annahmen!$B$27))+T17*(Annahmen!$B$28+U7*(Annahmen!$B$37-Annahmen!$B$28))</f>
        <v/>
      </c>
      <c r="V9" s="22">
        <f>U14*(Annahmen!$B$25+V7*(Annahmen!$B$34-Annahmen!$B$25))+U15*(Annahmen!$B$26+V7*(Annahmen!$B$35-Annahmen!$B$26))+U16*(Annahmen!$B$27+V7*(Annahmen!$B$36-Annahmen!$B$27))+U17*(Annahmen!$B$28+V7*(Annahmen!$B$37-Annahmen!$B$28))</f>
        <v/>
      </c>
      <c r="W9" s="22">
        <f>V14*(Annahmen!$B$25+W7*(Annahmen!$B$34-Annahmen!$B$25))+V15*(Annahmen!$B$26+W7*(Annahmen!$B$35-Annahmen!$B$26))+V16*(Annahmen!$B$27+W7*(Annahmen!$B$36-Annahmen!$B$27))+V17*(Annahmen!$B$28+W7*(Annahmen!$B$37-Annahmen!$B$28))</f>
        <v/>
      </c>
      <c r="X9" s="22">
        <f>W14*(Annahmen!$B$25+X7*(Annahmen!$B$34-Annahmen!$B$25))+W15*(Annahmen!$B$26+X7*(Annahmen!$B$35-Annahmen!$B$26))+W16*(Annahmen!$B$27+X7*(Annahmen!$B$36-Annahmen!$B$27))+W17*(Annahmen!$B$28+X7*(Annahmen!$B$37-Annahmen!$B$28))</f>
        <v/>
      </c>
      <c r="Y9" s="22">
        <f>X14*(Annahmen!$B$25+Y7*(Annahmen!$B$34-Annahmen!$B$25))+X15*(Annahmen!$B$26+Y7*(Annahmen!$B$35-Annahmen!$B$26))+X16*(Annahmen!$B$27+Y7*(Annahmen!$B$36-Annahmen!$B$27))+X17*(Annahmen!$B$28+Y7*(Annahmen!$B$37-Annahmen!$B$28))</f>
        <v/>
      </c>
    </row>
    <row r="10">
      <c r="A10" s="5" t="inlineStr">
        <is>
          <t>Möglich nach Stunden</t>
        </is>
      </c>
      <c r="B10" s="22">
        <f>MAX(0,(Annahmen!$B$41-B9)/B8)</f>
        <v/>
      </c>
      <c r="C10" s="22">
        <f>MAX(0,(Annahmen!$B$41-C9)/C8)</f>
        <v/>
      </c>
      <c r="D10" s="22">
        <f>MAX(0,(Annahmen!$B$41-D9)/D8)</f>
        <v/>
      </c>
      <c r="E10" s="22">
        <f>MAX(0,(Annahmen!$B$41-E9)/E8)</f>
        <v/>
      </c>
      <c r="F10" s="22">
        <f>MAX(0,(Annahmen!$B$41-F9)/F8)</f>
        <v/>
      </c>
      <c r="G10" s="22">
        <f>MAX(0,(Annahmen!$B$41-G9)/G8)</f>
        <v/>
      </c>
      <c r="H10" s="22">
        <f>MAX(0,(Annahmen!$B$41-H9)/H8)</f>
        <v/>
      </c>
      <c r="I10" s="22">
        <f>MAX(0,(Annahmen!$B$41-I9)/I8)</f>
        <v/>
      </c>
      <c r="J10" s="22">
        <f>MAX(0,(Annahmen!$B$41-J9)/J8)</f>
        <v/>
      </c>
      <c r="K10" s="22">
        <f>MAX(0,(Annahmen!$B$41-K9)/K8)</f>
        <v/>
      </c>
      <c r="L10" s="22">
        <f>MAX(0,(Annahmen!$B$41-L9)/L8)</f>
        <v/>
      </c>
      <c r="M10" s="22">
        <f>MAX(0,(Annahmen!$B$41-M9)/M8)</f>
        <v/>
      </c>
      <c r="N10" s="22">
        <f>MAX(0,(Annahmen!$B$41-N9)/N8)</f>
        <v/>
      </c>
      <c r="O10" s="22">
        <f>MAX(0,(Annahmen!$B$41-O9)/O8)</f>
        <v/>
      </c>
      <c r="P10" s="22">
        <f>MAX(0,(Annahmen!$B$41-P9)/P8)</f>
        <v/>
      </c>
      <c r="Q10" s="22">
        <f>MAX(0,(Annahmen!$B$41-Q9)/Q8)</f>
        <v/>
      </c>
      <c r="R10" s="22">
        <f>MAX(0,(Annahmen!$B$41-R9)/R8)</f>
        <v/>
      </c>
      <c r="S10" s="22">
        <f>MAX(0,(Annahmen!$B$41-S9)/S8)</f>
        <v/>
      </c>
      <c r="T10" s="22">
        <f>MAX(0,(Annahmen!$B$41-T9)/T8)</f>
        <v/>
      </c>
      <c r="U10" s="22">
        <f>MAX(0,(Annahmen!$B$41-U9)/U8)</f>
        <v/>
      </c>
      <c r="V10" s="22">
        <f>MAX(0,(Annahmen!$B$41-V9)/V8)</f>
        <v/>
      </c>
      <c r="W10" s="22">
        <f>MAX(0,(Annahmen!$B$41-W9)/W8)</f>
        <v/>
      </c>
      <c r="X10" s="22">
        <f>MAX(0,(Annahmen!$B$41-X9)/X8)</f>
        <v/>
      </c>
      <c r="Y10" s="22">
        <f>MAX(0,(Annahmen!$B$41-Y9)/Y8)</f>
        <v/>
      </c>
    </row>
    <row r="11">
      <c r="A11" s="7" t="inlineStr">
        <is>
          <t>Abschlüsse</t>
        </is>
      </c>
      <c r="B11" s="21">
        <f>MIN(B5,B10)</f>
        <v/>
      </c>
      <c r="C11" s="21">
        <f>MIN(C5,C10)</f>
        <v/>
      </c>
      <c r="D11" s="21">
        <f>MIN(D5,D10)</f>
        <v/>
      </c>
      <c r="E11" s="21">
        <f>MIN(E5,E10)</f>
        <v/>
      </c>
      <c r="F11" s="21">
        <f>MIN(F5,F10)</f>
        <v/>
      </c>
      <c r="G11" s="21">
        <f>MIN(G5,G10)</f>
        <v/>
      </c>
      <c r="H11" s="21">
        <f>MIN(H5,H10)</f>
        <v/>
      </c>
      <c r="I11" s="21">
        <f>MIN(I5,I10)</f>
        <v/>
      </c>
      <c r="J11" s="21">
        <f>MIN(J5,J10)</f>
        <v/>
      </c>
      <c r="K11" s="21">
        <f>MIN(K5,K10)</f>
        <v/>
      </c>
      <c r="L11" s="21">
        <f>MIN(L5,L10)</f>
        <v/>
      </c>
      <c r="M11" s="21">
        <f>MIN(M5,M10)</f>
        <v/>
      </c>
      <c r="N11" s="21">
        <f>MIN(N5,N10)</f>
        <v/>
      </c>
      <c r="O11" s="21">
        <f>MIN(O5,O10)</f>
        <v/>
      </c>
      <c r="P11" s="21">
        <f>MIN(P5,P10)</f>
        <v/>
      </c>
      <c r="Q11" s="21">
        <f>MIN(Q5,Q10)</f>
        <v/>
      </c>
      <c r="R11" s="21">
        <f>MIN(R5,R10)</f>
        <v/>
      </c>
      <c r="S11" s="21">
        <f>MIN(S5,S10)</f>
        <v/>
      </c>
      <c r="T11" s="21">
        <f>MIN(T5,T10)</f>
        <v/>
      </c>
      <c r="U11" s="21">
        <f>MIN(U5,U10)</f>
        <v/>
      </c>
      <c r="V11" s="21">
        <f>MIN(V5,V10)</f>
        <v/>
      </c>
      <c r="W11" s="21">
        <f>MIN(W5,W10)</f>
        <v/>
      </c>
      <c r="X11" s="21">
        <f>MIN(X5,X10)</f>
        <v/>
      </c>
      <c r="Y11" s="21">
        <f>MIN(Y5,Y10)</f>
        <v/>
      </c>
    </row>
    <row r="12">
      <c r="A12" s="5" t="inlineStr">
        <is>
          <t>Abschlüsse kumuliert</t>
        </is>
      </c>
      <c r="B12" s="22">
        <f>0+B11</f>
        <v/>
      </c>
      <c r="C12" s="22">
        <f>B12+C11</f>
        <v/>
      </c>
      <c r="D12" s="22">
        <f>C12+D11</f>
        <v/>
      </c>
      <c r="E12" s="22">
        <f>D12+E11</f>
        <v/>
      </c>
      <c r="F12" s="22">
        <f>E12+F11</f>
        <v/>
      </c>
      <c r="G12" s="22">
        <f>F12+G11</f>
        <v/>
      </c>
      <c r="H12" s="22">
        <f>G12+H11</f>
        <v/>
      </c>
      <c r="I12" s="22">
        <f>H12+I11</f>
        <v/>
      </c>
      <c r="J12" s="22">
        <f>I12+J11</f>
        <v/>
      </c>
      <c r="K12" s="22">
        <f>J12+K11</f>
        <v/>
      </c>
      <c r="L12" s="22">
        <f>K12+L11</f>
        <v/>
      </c>
      <c r="M12" s="22">
        <f>L12+M11</f>
        <v/>
      </c>
      <c r="N12" s="22">
        <f>M12+N11</f>
        <v/>
      </c>
      <c r="O12" s="22">
        <f>N12+O11</f>
        <v/>
      </c>
      <c r="P12" s="22">
        <f>O12+P11</f>
        <v/>
      </c>
      <c r="Q12" s="22">
        <f>P12+Q11</f>
        <v/>
      </c>
      <c r="R12" s="22">
        <f>Q12+R11</f>
        <v/>
      </c>
      <c r="S12" s="22">
        <f>R12+S11</f>
        <v/>
      </c>
      <c r="T12" s="22">
        <f>S12+T11</f>
        <v/>
      </c>
      <c r="U12" s="22">
        <f>T12+U11</f>
        <v/>
      </c>
      <c r="V12" s="22">
        <f>U12+V11</f>
        <v/>
      </c>
      <c r="W12" s="22">
        <f>V12+W11</f>
        <v/>
      </c>
      <c r="X12" s="22">
        <f>W12+X11</f>
        <v/>
      </c>
      <c r="Y12" s="22">
        <f>X12+Y11</f>
        <v/>
      </c>
    </row>
    <row r="13">
      <c r="A13" s="24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</row>
    <row r="14">
      <c r="A14" s="5" t="inlineStr">
        <is>
          <t>Aktive Pflege-Kunden</t>
        </is>
      </c>
      <c r="B14" s="22">
        <f>0*(1-Annahmen!$B$17)+B11*Annahmen!$B$12/(1-Annahmen!$B$15*(1-B6))</f>
        <v/>
      </c>
      <c r="C14" s="22">
        <f>B14*(1-Annahmen!$B$17)+C11*Annahmen!$B$12/(1-Annahmen!$B$15*(1-C6))</f>
        <v/>
      </c>
      <c r="D14" s="22">
        <f>C14*(1-Annahmen!$B$17)+D11*Annahmen!$B$12/(1-Annahmen!$B$15*(1-D6))</f>
        <v/>
      </c>
      <c r="E14" s="22">
        <f>D14*(1-Annahmen!$B$17)+E11*Annahmen!$B$12/(1-Annahmen!$B$15*(1-E6))</f>
        <v/>
      </c>
      <c r="F14" s="22">
        <f>E14*(1-Annahmen!$B$17)+F11*Annahmen!$B$12/(1-Annahmen!$B$15*(1-F6))</f>
        <v/>
      </c>
      <c r="G14" s="22">
        <f>F14*(1-Annahmen!$B$17)+G11*Annahmen!$B$12/(1-Annahmen!$B$15*(1-G6))</f>
        <v/>
      </c>
      <c r="H14" s="22">
        <f>G14*(1-Annahmen!$B$17)+H11*Annahmen!$B$12/(1-Annahmen!$B$15*(1-H6))</f>
        <v/>
      </c>
      <c r="I14" s="22">
        <f>H14*(1-Annahmen!$B$17)+I11*Annahmen!$B$12/(1-Annahmen!$B$15*(1-I6))</f>
        <v/>
      </c>
      <c r="J14" s="22">
        <f>I14*(1-Annahmen!$B$17)+J11*Annahmen!$B$12/(1-Annahmen!$B$15*(1-J6))</f>
        <v/>
      </c>
      <c r="K14" s="22">
        <f>J14*(1-Annahmen!$B$17)+K11*Annahmen!$B$12/(1-Annahmen!$B$15*(1-K6))</f>
        <v/>
      </c>
      <c r="L14" s="22">
        <f>K14*(1-Annahmen!$B$17)+L11*Annahmen!$B$12/(1-Annahmen!$B$15*(1-L6))</f>
        <v/>
      </c>
      <c r="M14" s="22">
        <f>L14*(1-Annahmen!$B$17)+M11*Annahmen!$B$12/(1-Annahmen!$B$15*(1-M6))</f>
        <v/>
      </c>
      <c r="N14" s="22">
        <f>M14*(1-Annahmen!$B$17)+N11*Annahmen!$B$12/(1-Annahmen!$B$15*(1-N6))</f>
        <v/>
      </c>
      <c r="O14" s="22">
        <f>N14*(1-Annahmen!$B$17)+O11*Annahmen!$B$12/(1-Annahmen!$B$15*(1-O6))</f>
        <v/>
      </c>
      <c r="P14" s="22">
        <f>O14*(1-Annahmen!$B$17)+P11*Annahmen!$B$12/(1-Annahmen!$B$15*(1-P6))</f>
        <v/>
      </c>
      <c r="Q14" s="22">
        <f>P14*(1-Annahmen!$B$17)+Q11*Annahmen!$B$12/(1-Annahmen!$B$15*(1-Q6))</f>
        <v/>
      </c>
      <c r="R14" s="22">
        <f>Q14*(1-Annahmen!$B$17)+R11*Annahmen!$B$12/(1-Annahmen!$B$15*(1-R6))</f>
        <v/>
      </c>
      <c r="S14" s="22">
        <f>R14*(1-Annahmen!$B$17)+S11*Annahmen!$B$12/(1-Annahmen!$B$15*(1-S6))</f>
        <v/>
      </c>
      <c r="T14" s="22">
        <f>S14*(1-Annahmen!$B$17)+T11*Annahmen!$B$12/(1-Annahmen!$B$15*(1-T6))</f>
        <v/>
      </c>
      <c r="U14" s="22">
        <f>T14*(1-Annahmen!$B$17)+U11*Annahmen!$B$12/(1-Annahmen!$B$15*(1-U6))</f>
        <v/>
      </c>
      <c r="V14" s="22">
        <f>U14*(1-Annahmen!$B$17)+V11*Annahmen!$B$12/(1-Annahmen!$B$15*(1-V6))</f>
        <v/>
      </c>
      <c r="W14" s="22">
        <f>V14*(1-Annahmen!$B$17)+W11*Annahmen!$B$12/(1-Annahmen!$B$15*(1-W6))</f>
        <v/>
      </c>
      <c r="X14" s="22">
        <f>W14*(1-Annahmen!$B$17)+X11*Annahmen!$B$12/(1-Annahmen!$B$15*(1-X6))</f>
        <v/>
      </c>
      <c r="Y14" s="22">
        <f>X14*(1-Annahmen!$B$17)+Y11*Annahmen!$B$12/(1-Annahmen!$B$15*(1-Y6))</f>
        <v/>
      </c>
    </row>
    <row r="15">
      <c r="A15" s="5" t="inlineStr">
        <is>
          <t>Aktive Programm-Kunden</t>
        </is>
      </c>
      <c r="B15" s="22">
        <f>0*(1-Annahmen!$B$18)+B11*Annahmen!$B$13/(1-Annahmen!$B$15*(1-B6))</f>
        <v/>
      </c>
      <c r="C15" s="22">
        <f>B15*(1-Annahmen!$B$18)+C11*Annahmen!$B$13/(1-Annahmen!$B$15*(1-C6))</f>
        <v/>
      </c>
      <c r="D15" s="22">
        <f>C15*(1-Annahmen!$B$18)+D11*Annahmen!$B$13/(1-Annahmen!$B$15*(1-D6))</f>
        <v/>
      </c>
      <c r="E15" s="22">
        <f>D15*(1-Annahmen!$B$18)+E11*Annahmen!$B$13/(1-Annahmen!$B$15*(1-E6))</f>
        <v/>
      </c>
      <c r="F15" s="22">
        <f>E15*(1-Annahmen!$B$18)+F11*Annahmen!$B$13/(1-Annahmen!$B$15*(1-F6))</f>
        <v/>
      </c>
      <c r="G15" s="22">
        <f>F15*(1-Annahmen!$B$18)+G11*Annahmen!$B$13/(1-Annahmen!$B$15*(1-G6))</f>
        <v/>
      </c>
      <c r="H15" s="22">
        <f>G15*(1-Annahmen!$B$18)+H11*Annahmen!$B$13/(1-Annahmen!$B$15*(1-H6))</f>
        <v/>
      </c>
      <c r="I15" s="22">
        <f>H15*(1-Annahmen!$B$18)+I11*Annahmen!$B$13/(1-Annahmen!$B$15*(1-I6))</f>
        <v/>
      </c>
      <c r="J15" s="22">
        <f>I15*(1-Annahmen!$B$18)+J11*Annahmen!$B$13/(1-Annahmen!$B$15*(1-J6))</f>
        <v/>
      </c>
      <c r="K15" s="22">
        <f>J15*(1-Annahmen!$B$18)+K11*Annahmen!$B$13/(1-Annahmen!$B$15*(1-K6))</f>
        <v/>
      </c>
      <c r="L15" s="22">
        <f>K15*(1-Annahmen!$B$18)+L11*Annahmen!$B$13/(1-Annahmen!$B$15*(1-L6))</f>
        <v/>
      </c>
      <c r="M15" s="22">
        <f>L15*(1-Annahmen!$B$18)+M11*Annahmen!$B$13/(1-Annahmen!$B$15*(1-M6))</f>
        <v/>
      </c>
      <c r="N15" s="22">
        <f>M15*(1-Annahmen!$B$18)+N11*Annahmen!$B$13/(1-Annahmen!$B$15*(1-N6))</f>
        <v/>
      </c>
      <c r="O15" s="22">
        <f>N15*(1-Annahmen!$B$18)+O11*Annahmen!$B$13/(1-Annahmen!$B$15*(1-O6))</f>
        <v/>
      </c>
      <c r="P15" s="22">
        <f>O15*(1-Annahmen!$B$18)+P11*Annahmen!$B$13/(1-Annahmen!$B$15*(1-P6))</f>
        <v/>
      </c>
      <c r="Q15" s="22">
        <f>P15*(1-Annahmen!$B$18)+Q11*Annahmen!$B$13/(1-Annahmen!$B$15*(1-Q6))</f>
        <v/>
      </c>
      <c r="R15" s="22">
        <f>Q15*(1-Annahmen!$B$18)+R11*Annahmen!$B$13/(1-Annahmen!$B$15*(1-R6))</f>
        <v/>
      </c>
      <c r="S15" s="22">
        <f>R15*(1-Annahmen!$B$18)+S11*Annahmen!$B$13/(1-Annahmen!$B$15*(1-S6))</f>
        <v/>
      </c>
      <c r="T15" s="22">
        <f>S15*(1-Annahmen!$B$18)+T11*Annahmen!$B$13/(1-Annahmen!$B$15*(1-T6))</f>
        <v/>
      </c>
      <c r="U15" s="22">
        <f>T15*(1-Annahmen!$B$18)+U11*Annahmen!$B$13/(1-Annahmen!$B$15*(1-U6))</f>
        <v/>
      </c>
      <c r="V15" s="22">
        <f>U15*(1-Annahmen!$B$18)+V11*Annahmen!$B$13/(1-Annahmen!$B$15*(1-V6))</f>
        <v/>
      </c>
      <c r="W15" s="22">
        <f>V15*(1-Annahmen!$B$18)+W11*Annahmen!$B$13/(1-Annahmen!$B$15*(1-W6))</f>
        <v/>
      </c>
      <c r="X15" s="22">
        <f>W15*(1-Annahmen!$B$18)+X11*Annahmen!$B$13/(1-Annahmen!$B$15*(1-X6))</f>
        <v/>
      </c>
      <c r="Y15" s="22">
        <f>X15*(1-Annahmen!$B$18)+Y11*Annahmen!$B$13/(1-Annahmen!$B$15*(1-Y6))</f>
        <v/>
      </c>
    </row>
    <row r="16">
      <c r="A16" s="5" t="inlineStr">
        <is>
          <t>Aktive SEO-Kunden</t>
        </is>
      </c>
      <c r="B16" s="22">
        <f>0*(1-Annahmen!$B$19)+B11*Annahmen!$B$14/(1-Annahmen!$B$15*(1-B6))</f>
        <v/>
      </c>
      <c r="C16" s="22">
        <f>B16*(1-Annahmen!$B$19)+C11*Annahmen!$B$14/(1-Annahmen!$B$15*(1-C6))</f>
        <v/>
      </c>
      <c r="D16" s="22">
        <f>C16*(1-Annahmen!$B$19)+D11*Annahmen!$B$14/(1-Annahmen!$B$15*(1-D6))</f>
        <v/>
      </c>
      <c r="E16" s="22">
        <f>D16*(1-Annahmen!$B$19)+E11*Annahmen!$B$14/(1-Annahmen!$B$15*(1-E6))</f>
        <v/>
      </c>
      <c r="F16" s="22">
        <f>E16*(1-Annahmen!$B$19)+F11*Annahmen!$B$14/(1-Annahmen!$B$15*(1-F6))</f>
        <v/>
      </c>
      <c r="G16" s="22">
        <f>F16*(1-Annahmen!$B$19)+G11*Annahmen!$B$14/(1-Annahmen!$B$15*(1-G6))</f>
        <v/>
      </c>
      <c r="H16" s="22">
        <f>G16*(1-Annahmen!$B$19)+H11*Annahmen!$B$14/(1-Annahmen!$B$15*(1-H6))</f>
        <v/>
      </c>
      <c r="I16" s="22">
        <f>H16*(1-Annahmen!$B$19)+I11*Annahmen!$B$14/(1-Annahmen!$B$15*(1-I6))</f>
        <v/>
      </c>
      <c r="J16" s="22">
        <f>I16*(1-Annahmen!$B$19)+J11*Annahmen!$B$14/(1-Annahmen!$B$15*(1-J6))</f>
        <v/>
      </c>
      <c r="K16" s="22">
        <f>J16*(1-Annahmen!$B$19)+K11*Annahmen!$B$14/(1-Annahmen!$B$15*(1-K6))</f>
        <v/>
      </c>
      <c r="L16" s="22">
        <f>K16*(1-Annahmen!$B$19)+L11*Annahmen!$B$14/(1-Annahmen!$B$15*(1-L6))</f>
        <v/>
      </c>
      <c r="M16" s="22">
        <f>L16*(1-Annahmen!$B$19)+M11*Annahmen!$B$14/(1-Annahmen!$B$15*(1-M6))</f>
        <v/>
      </c>
      <c r="N16" s="22">
        <f>M16*(1-Annahmen!$B$19)+N11*Annahmen!$B$14/(1-Annahmen!$B$15*(1-N6))</f>
        <v/>
      </c>
      <c r="O16" s="22">
        <f>N16*(1-Annahmen!$B$19)+O11*Annahmen!$B$14/(1-Annahmen!$B$15*(1-O6))</f>
        <v/>
      </c>
      <c r="P16" s="22">
        <f>O16*(1-Annahmen!$B$19)+P11*Annahmen!$B$14/(1-Annahmen!$B$15*(1-P6))</f>
        <v/>
      </c>
      <c r="Q16" s="22">
        <f>P16*(1-Annahmen!$B$19)+Q11*Annahmen!$B$14/(1-Annahmen!$B$15*(1-Q6))</f>
        <v/>
      </c>
      <c r="R16" s="22">
        <f>Q16*(1-Annahmen!$B$19)+R11*Annahmen!$B$14/(1-Annahmen!$B$15*(1-R6))</f>
        <v/>
      </c>
      <c r="S16" s="22">
        <f>R16*(1-Annahmen!$B$19)+S11*Annahmen!$B$14/(1-Annahmen!$B$15*(1-S6))</f>
        <v/>
      </c>
      <c r="T16" s="22">
        <f>S16*(1-Annahmen!$B$19)+T11*Annahmen!$B$14/(1-Annahmen!$B$15*(1-T6))</f>
        <v/>
      </c>
      <c r="U16" s="22">
        <f>T16*(1-Annahmen!$B$19)+U11*Annahmen!$B$14/(1-Annahmen!$B$15*(1-U6))</f>
        <v/>
      </c>
      <c r="V16" s="22">
        <f>U16*(1-Annahmen!$B$19)+V11*Annahmen!$B$14/(1-Annahmen!$B$15*(1-V6))</f>
        <v/>
      </c>
      <c r="W16" s="22">
        <f>V16*(1-Annahmen!$B$19)+W11*Annahmen!$B$14/(1-Annahmen!$B$15*(1-W6))</f>
        <v/>
      </c>
      <c r="X16" s="22">
        <f>W16*(1-Annahmen!$B$19)+X11*Annahmen!$B$14/(1-Annahmen!$B$15*(1-X6))</f>
        <v/>
      </c>
      <c r="Y16" s="22">
        <f>X16*(1-Annahmen!$B$19)+Y11*Annahmen!$B$14/(1-Annahmen!$B$15*(1-Y6))</f>
        <v/>
      </c>
    </row>
    <row r="17">
      <c r="A17" s="5" t="inlineStr">
        <is>
          <t>Aktive Recruiting-Kunden</t>
        </is>
      </c>
      <c r="B17" s="22">
        <f>0*(1-Annahmen!$B$20)+B11*Annahmen!$B$15*B6</f>
        <v/>
      </c>
      <c r="C17" s="22">
        <f>B17*(1-Annahmen!$B$20)+C11*Annahmen!$B$15*C6</f>
        <v/>
      </c>
      <c r="D17" s="22">
        <f>C17*(1-Annahmen!$B$20)+D11*Annahmen!$B$15*D6</f>
        <v/>
      </c>
      <c r="E17" s="22">
        <f>D17*(1-Annahmen!$B$20)+E11*Annahmen!$B$15*E6</f>
        <v/>
      </c>
      <c r="F17" s="22">
        <f>E17*(1-Annahmen!$B$20)+F11*Annahmen!$B$15*F6</f>
        <v/>
      </c>
      <c r="G17" s="22">
        <f>F17*(1-Annahmen!$B$20)+G11*Annahmen!$B$15*G6</f>
        <v/>
      </c>
      <c r="H17" s="22">
        <f>G17*(1-Annahmen!$B$20)+H11*Annahmen!$B$15*H6</f>
        <v/>
      </c>
      <c r="I17" s="22">
        <f>H17*(1-Annahmen!$B$20)+I11*Annahmen!$B$15*I6</f>
        <v/>
      </c>
      <c r="J17" s="22">
        <f>I17*(1-Annahmen!$B$20)+J11*Annahmen!$B$15*J6</f>
        <v/>
      </c>
      <c r="K17" s="22">
        <f>J17*(1-Annahmen!$B$20)+K11*Annahmen!$B$15*K6</f>
        <v/>
      </c>
      <c r="L17" s="22">
        <f>K17*(1-Annahmen!$B$20)+L11*Annahmen!$B$15*L6</f>
        <v/>
      </c>
      <c r="M17" s="22">
        <f>L17*(1-Annahmen!$B$20)+M11*Annahmen!$B$15*M6</f>
        <v/>
      </c>
      <c r="N17" s="22">
        <f>M17*(1-Annahmen!$B$20)+N11*Annahmen!$B$15*N6</f>
        <v/>
      </c>
      <c r="O17" s="22">
        <f>N17*(1-Annahmen!$B$20)+O11*Annahmen!$B$15*O6</f>
        <v/>
      </c>
      <c r="P17" s="22">
        <f>O17*(1-Annahmen!$B$20)+P11*Annahmen!$B$15*P6</f>
        <v/>
      </c>
      <c r="Q17" s="22">
        <f>P17*(1-Annahmen!$B$20)+Q11*Annahmen!$B$15*Q6</f>
        <v/>
      </c>
      <c r="R17" s="22">
        <f>Q17*(1-Annahmen!$B$20)+R11*Annahmen!$B$15*R6</f>
        <v/>
      </c>
      <c r="S17" s="22">
        <f>R17*(1-Annahmen!$B$20)+S11*Annahmen!$B$15*S6</f>
        <v/>
      </c>
      <c r="T17" s="22">
        <f>S17*(1-Annahmen!$B$20)+T11*Annahmen!$B$15*T6</f>
        <v/>
      </c>
      <c r="U17" s="22">
        <f>T17*(1-Annahmen!$B$20)+U11*Annahmen!$B$15*U6</f>
        <v/>
      </c>
      <c r="V17" s="22">
        <f>U17*(1-Annahmen!$B$20)+V11*Annahmen!$B$15*V6</f>
        <v/>
      </c>
      <c r="W17" s="22">
        <f>V17*(1-Annahmen!$B$20)+W11*Annahmen!$B$15*W6</f>
        <v/>
      </c>
      <c r="X17" s="22">
        <f>W17*(1-Annahmen!$B$20)+X11*Annahmen!$B$15*X6</f>
        <v/>
      </c>
      <c r="Y17" s="22">
        <f>X17*(1-Annahmen!$B$20)+Y11*Annahmen!$B$15*Y6</f>
        <v/>
      </c>
    </row>
    <row r="18">
      <c r="A18" s="24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  <c r="T18" s="24" t="n"/>
      <c r="U18" s="24" t="n"/>
      <c r="V18" s="24" t="n"/>
      <c r="W18" s="24" t="n"/>
      <c r="X18" s="24" t="n"/>
      <c r="Y18" s="24" t="n"/>
    </row>
    <row r="19">
      <c r="A19" s="7" t="inlineStr">
        <is>
          <t>MRR</t>
        </is>
      </c>
      <c r="B19" s="25">
        <f>B14*Annahmen!$B$6+B15*Annahmen!$B$7+B16*Annahmen!$B$9+B17*Annahmen!$B$10</f>
        <v/>
      </c>
      <c r="C19" s="25">
        <f>C14*Annahmen!$B$6+C15*Annahmen!$B$7+C16*Annahmen!$B$9+C17*Annahmen!$B$10</f>
        <v/>
      </c>
      <c r="D19" s="25">
        <f>D14*Annahmen!$B$6+D15*Annahmen!$B$7+D16*Annahmen!$B$9+D17*Annahmen!$B$10</f>
        <v/>
      </c>
      <c r="E19" s="25">
        <f>E14*Annahmen!$B$6+E15*Annahmen!$B$7+E16*Annahmen!$B$9+E17*Annahmen!$B$10</f>
        <v/>
      </c>
      <c r="F19" s="25">
        <f>F14*Annahmen!$B$6+F15*Annahmen!$B$7+F16*Annahmen!$B$9+F17*Annahmen!$B$10</f>
        <v/>
      </c>
      <c r="G19" s="25">
        <f>G14*Annahmen!$B$6+G15*Annahmen!$B$7+G16*Annahmen!$B$9+G17*Annahmen!$B$10</f>
        <v/>
      </c>
      <c r="H19" s="25">
        <f>H14*Annahmen!$B$6+H15*Annahmen!$B$7+H16*Annahmen!$B$9+H17*Annahmen!$B$10</f>
        <v/>
      </c>
      <c r="I19" s="25">
        <f>I14*Annahmen!$B$6+I15*Annahmen!$B$7+I16*Annahmen!$B$9+I17*Annahmen!$B$10</f>
        <v/>
      </c>
      <c r="J19" s="25">
        <f>J14*Annahmen!$B$6+J15*Annahmen!$B$7+J16*Annahmen!$B$9+J17*Annahmen!$B$10</f>
        <v/>
      </c>
      <c r="K19" s="25">
        <f>K14*Annahmen!$B$6+K15*Annahmen!$B$7+K16*Annahmen!$B$9+K17*Annahmen!$B$10</f>
        <v/>
      </c>
      <c r="L19" s="25">
        <f>L14*Annahmen!$B$6+L15*Annahmen!$B$7+L16*Annahmen!$B$9+L17*Annahmen!$B$10</f>
        <v/>
      </c>
      <c r="M19" s="25">
        <f>M14*Annahmen!$B$6+M15*Annahmen!$B$7+M16*Annahmen!$B$9+M17*Annahmen!$B$10</f>
        <v/>
      </c>
      <c r="N19" s="25">
        <f>N14*Annahmen!$B$6+N15*Annahmen!$B$7+N16*Annahmen!$B$9+N17*Annahmen!$B$10</f>
        <v/>
      </c>
      <c r="O19" s="25">
        <f>O14*Annahmen!$B$6+O15*Annahmen!$B$7+O16*Annahmen!$B$9+O17*Annahmen!$B$10</f>
        <v/>
      </c>
      <c r="P19" s="25">
        <f>P14*Annahmen!$B$6+P15*Annahmen!$B$7+P16*Annahmen!$B$9+P17*Annahmen!$B$10</f>
        <v/>
      </c>
      <c r="Q19" s="25">
        <f>Q14*Annahmen!$B$6+Q15*Annahmen!$B$7+Q16*Annahmen!$B$9+Q17*Annahmen!$B$10</f>
        <v/>
      </c>
      <c r="R19" s="25">
        <f>R14*Annahmen!$B$6+R15*Annahmen!$B$7+R16*Annahmen!$B$9+R17*Annahmen!$B$10</f>
        <v/>
      </c>
      <c r="S19" s="25">
        <f>S14*Annahmen!$B$6+S15*Annahmen!$B$7+S16*Annahmen!$B$9+S17*Annahmen!$B$10</f>
        <v/>
      </c>
      <c r="T19" s="25">
        <f>T14*Annahmen!$B$6+T15*Annahmen!$B$7+T16*Annahmen!$B$9+T17*Annahmen!$B$10</f>
        <v/>
      </c>
      <c r="U19" s="25">
        <f>U14*Annahmen!$B$6+U15*Annahmen!$B$7+U16*Annahmen!$B$9+U17*Annahmen!$B$10</f>
        <v/>
      </c>
      <c r="V19" s="25">
        <f>V14*Annahmen!$B$6+V15*Annahmen!$B$7+V16*Annahmen!$B$9+V17*Annahmen!$B$10</f>
        <v/>
      </c>
      <c r="W19" s="25">
        <f>W14*Annahmen!$B$6+W15*Annahmen!$B$7+W16*Annahmen!$B$9+W17*Annahmen!$B$10</f>
        <v/>
      </c>
      <c r="X19" s="25">
        <f>X14*Annahmen!$B$6+X15*Annahmen!$B$7+X16*Annahmen!$B$9+X17*Annahmen!$B$10</f>
        <v/>
      </c>
      <c r="Y19" s="25">
        <f>Y14*Annahmen!$B$6+Y15*Annahmen!$B$7+Y16*Annahmen!$B$9+Y17*Annahmen!$B$10</f>
        <v/>
      </c>
    </row>
    <row r="20">
      <c r="A20" s="5" t="inlineStr">
        <is>
          <t>Einmalumsatz</t>
        </is>
      </c>
      <c r="B20" s="26">
        <f>B11*(Annahmen!$B$12/(1-Annahmen!$B$15*(1-B6))*Annahmen!$B$5+Annahmen!$B$13/(1-Annahmen!$B$15*(1-B6))*Annahmen!$B$8+Annahmen!$B$15*B6*Annahmen!$B$11)</f>
        <v/>
      </c>
      <c r="C20" s="26">
        <f>C11*(Annahmen!$B$12/(1-Annahmen!$B$15*(1-C6))*Annahmen!$B$5+Annahmen!$B$13/(1-Annahmen!$B$15*(1-C6))*Annahmen!$B$8+Annahmen!$B$15*C6*Annahmen!$B$11)</f>
        <v/>
      </c>
      <c r="D20" s="26">
        <f>D11*(Annahmen!$B$12/(1-Annahmen!$B$15*(1-D6))*Annahmen!$B$5+Annahmen!$B$13/(1-Annahmen!$B$15*(1-D6))*Annahmen!$B$8+Annahmen!$B$15*D6*Annahmen!$B$11)</f>
        <v/>
      </c>
      <c r="E20" s="26">
        <f>E11*(Annahmen!$B$12/(1-Annahmen!$B$15*(1-E6))*Annahmen!$B$5+Annahmen!$B$13/(1-Annahmen!$B$15*(1-E6))*Annahmen!$B$8+Annahmen!$B$15*E6*Annahmen!$B$11)</f>
        <v/>
      </c>
      <c r="F20" s="26">
        <f>F11*(Annahmen!$B$12/(1-Annahmen!$B$15*(1-F6))*Annahmen!$B$5+Annahmen!$B$13/(1-Annahmen!$B$15*(1-F6))*Annahmen!$B$8+Annahmen!$B$15*F6*Annahmen!$B$11)</f>
        <v/>
      </c>
      <c r="G20" s="26">
        <f>G11*(Annahmen!$B$12/(1-Annahmen!$B$15*(1-G6))*Annahmen!$B$5+Annahmen!$B$13/(1-Annahmen!$B$15*(1-G6))*Annahmen!$B$8+Annahmen!$B$15*G6*Annahmen!$B$11)</f>
        <v/>
      </c>
      <c r="H20" s="26">
        <f>H11*(Annahmen!$B$12/(1-Annahmen!$B$15*(1-H6))*Annahmen!$B$5+Annahmen!$B$13/(1-Annahmen!$B$15*(1-H6))*Annahmen!$B$8+Annahmen!$B$15*H6*Annahmen!$B$11)</f>
        <v/>
      </c>
      <c r="I20" s="26">
        <f>I11*(Annahmen!$B$12/(1-Annahmen!$B$15*(1-I6))*Annahmen!$B$5+Annahmen!$B$13/(1-Annahmen!$B$15*(1-I6))*Annahmen!$B$8+Annahmen!$B$15*I6*Annahmen!$B$11)</f>
        <v/>
      </c>
      <c r="J20" s="26">
        <f>J11*(Annahmen!$B$12/(1-Annahmen!$B$15*(1-J6))*Annahmen!$B$5+Annahmen!$B$13/(1-Annahmen!$B$15*(1-J6))*Annahmen!$B$8+Annahmen!$B$15*J6*Annahmen!$B$11)</f>
        <v/>
      </c>
      <c r="K20" s="26">
        <f>K11*(Annahmen!$B$12/(1-Annahmen!$B$15*(1-K6))*Annahmen!$B$5+Annahmen!$B$13/(1-Annahmen!$B$15*(1-K6))*Annahmen!$B$8+Annahmen!$B$15*K6*Annahmen!$B$11)</f>
        <v/>
      </c>
      <c r="L20" s="26">
        <f>L11*(Annahmen!$B$12/(1-Annahmen!$B$15*(1-L6))*Annahmen!$B$5+Annahmen!$B$13/(1-Annahmen!$B$15*(1-L6))*Annahmen!$B$8+Annahmen!$B$15*L6*Annahmen!$B$11)</f>
        <v/>
      </c>
      <c r="M20" s="26">
        <f>M11*(Annahmen!$B$12/(1-Annahmen!$B$15*(1-M6))*Annahmen!$B$5+Annahmen!$B$13/(1-Annahmen!$B$15*(1-M6))*Annahmen!$B$8+Annahmen!$B$15*M6*Annahmen!$B$11)</f>
        <v/>
      </c>
      <c r="N20" s="26">
        <f>N11*(Annahmen!$B$12/(1-Annahmen!$B$15*(1-N6))*Annahmen!$B$5+Annahmen!$B$13/(1-Annahmen!$B$15*(1-N6))*Annahmen!$B$8+Annahmen!$B$15*N6*Annahmen!$B$11)</f>
        <v/>
      </c>
      <c r="O20" s="26">
        <f>O11*(Annahmen!$B$12/(1-Annahmen!$B$15*(1-O6))*Annahmen!$B$5+Annahmen!$B$13/(1-Annahmen!$B$15*(1-O6))*Annahmen!$B$8+Annahmen!$B$15*O6*Annahmen!$B$11)</f>
        <v/>
      </c>
      <c r="P20" s="26">
        <f>P11*(Annahmen!$B$12/(1-Annahmen!$B$15*(1-P6))*Annahmen!$B$5+Annahmen!$B$13/(1-Annahmen!$B$15*(1-P6))*Annahmen!$B$8+Annahmen!$B$15*P6*Annahmen!$B$11)</f>
        <v/>
      </c>
      <c r="Q20" s="26">
        <f>Q11*(Annahmen!$B$12/(1-Annahmen!$B$15*(1-Q6))*Annahmen!$B$5+Annahmen!$B$13/(1-Annahmen!$B$15*(1-Q6))*Annahmen!$B$8+Annahmen!$B$15*Q6*Annahmen!$B$11)</f>
        <v/>
      </c>
      <c r="R20" s="26">
        <f>R11*(Annahmen!$B$12/(1-Annahmen!$B$15*(1-R6))*Annahmen!$B$5+Annahmen!$B$13/(1-Annahmen!$B$15*(1-R6))*Annahmen!$B$8+Annahmen!$B$15*R6*Annahmen!$B$11)</f>
        <v/>
      </c>
      <c r="S20" s="26">
        <f>S11*(Annahmen!$B$12/(1-Annahmen!$B$15*(1-S6))*Annahmen!$B$5+Annahmen!$B$13/(1-Annahmen!$B$15*(1-S6))*Annahmen!$B$8+Annahmen!$B$15*S6*Annahmen!$B$11)</f>
        <v/>
      </c>
      <c r="T20" s="26">
        <f>T11*(Annahmen!$B$12/(1-Annahmen!$B$15*(1-T6))*Annahmen!$B$5+Annahmen!$B$13/(1-Annahmen!$B$15*(1-T6))*Annahmen!$B$8+Annahmen!$B$15*T6*Annahmen!$B$11)</f>
        <v/>
      </c>
      <c r="U20" s="26">
        <f>U11*(Annahmen!$B$12/(1-Annahmen!$B$15*(1-U6))*Annahmen!$B$5+Annahmen!$B$13/(1-Annahmen!$B$15*(1-U6))*Annahmen!$B$8+Annahmen!$B$15*U6*Annahmen!$B$11)</f>
        <v/>
      </c>
      <c r="V20" s="26">
        <f>V11*(Annahmen!$B$12/(1-Annahmen!$B$15*(1-V6))*Annahmen!$B$5+Annahmen!$B$13/(1-Annahmen!$B$15*(1-V6))*Annahmen!$B$8+Annahmen!$B$15*V6*Annahmen!$B$11)</f>
        <v/>
      </c>
      <c r="W20" s="26">
        <f>W11*(Annahmen!$B$12/(1-Annahmen!$B$15*(1-W6))*Annahmen!$B$5+Annahmen!$B$13/(1-Annahmen!$B$15*(1-W6))*Annahmen!$B$8+Annahmen!$B$15*W6*Annahmen!$B$11)</f>
        <v/>
      </c>
      <c r="X20" s="26">
        <f>X11*(Annahmen!$B$12/(1-Annahmen!$B$15*(1-X6))*Annahmen!$B$5+Annahmen!$B$13/(1-Annahmen!$B$15*(1-X6))*Annahmen!$B$8+Annahmen!$B$15*X6*Annahmen!$B$11)</f>
        <v/>
      </c>
      <c r="Y20" s="26">
        <f>Y11*(Annahmen!$B$12/(1-Annahmen!$B$15*(1-Y6))*Annahmen!$B$5+Annahmen!$B$13/(1-Annahmen!$B$15*(1-Y6))*Annahmen!$B$8+Annahmen!$B$15*Y6*Annahmen!$B$11)</f>
        <v/>
      </c>
    </row>
    <row r="21">
      <c r="A21" s="7" t="inlineStr">
        <is>
          <t>Umsatz</t>
        </is>
      </c>
      <c r="B21" s="25">
        <f>B19+B20</f>
        <v/>
      </c>
      <c r="C21" s="25">
        <f>C19+C20</f>
        <v/>
      </c>
      <c r="D21" s="25">
        <f>D19+D20</f>
        <v/>
      </c>
      <c r="E21" s="25">
        <f>E19+E20</f>
        <v/>
      </c>
      <c r="F21" s="25">
        <f>F19+F20</f>
        <v/>
      </c>
      <c r="G21" s="25">
        <f>G19+G20</f>
        <v/>
      </c>
      <c r="H21" s="25">
        <f>H19+H20</f>
        <v/>
      </c>
      <c r="I21" s="25">
        <f>I19+I20</f>
        <v/>
      </c>
      <c r="J21" s="25">
        <f>J19+J20</f>
        <v/>
      </c>
      <c r="K21" s="25">
        <f>K19+K20</f>
        <v/>
      </c>
      <c r="L21" s="25">
        <f>L19+L20</f>
        <v/>
      </c>
      <c r="M21" s="25">
        <f>M19+M20</f>
        <v/>
      </c>
      <c r="N21" s="25">
        <f>N19+N20</f>
        <v/>
      </c>
      <c r="O21" s="25">
        <f>O19+O20</f>
        <v/>
      </c>
      <c r="P21" s="25">
        <f>P19+P20</f>
        <v/>
      </c>
      <c r="Q21" s="25">
        <f>Q19+Q20</f>
        <v/>
      </c>
      <c r="R21" s="25">
        <f>R19+R20</f>
        <v/>
      </c>
      <c r="S21" s="25">
        <f>S19+S20</f>
        <v/>
      </c>
      <c r="T21" s="25">
        <f>T19+T20</f>
        <v/>
      </c>
      <c r="U21" s="25">
        <f>U19+U20</f>
        <v/>
      </c>
      <c r="V21" s="25">
        <f>V19+V20</f>
        <v/>
      </c>
      <c r="W21" s="25">
        <f>W19+W20</f>
        <v/>
      </c>
      <c r="X21" s="25">
        <f>X19+X20</f>
        <v/>
      </c>
      <c r="Y21" s="25">
        <f>Y19+Y20</f>
        <v/>
      </c>
    </row>
    <row r="22">
      <c r="A22" s="5" t="inlineStr">
        <is>
          <t>Kosten</t>
        </is>
      </c>
      <c r="B22" s="26">
        <f>Annahmen!$B$42+Annahmen!$B$43+B7*Annahmen!$B$40</f>
        <v/>
      </c>
      <c r="C22" s="26">
        <f>Annahmen!$B$42+Annahmen!$B$43+C7*Annahmen!$B$40</f>
        <v/>
      </c>
      <c r="D22" s="26">
        <f>Annahmen!$B$42+Annahmen!$B$43+D7*Annahmen!$B$40</f>
        <v/>
      </c>
      <c r="E22" s="26">
        <f>Annahmen!$B$42+Annahmen!$B$43+E7*Annahmen!$B$40</f>
        <v/>
      </c>
      <c r="F22" s="26">
        <f>Annahmen!$B$42+Annahmen!$B$43+F7*Annahmen!$B$40</f>
        <v/>
      </c>
      <c r="G22" s="26">
        <f>Annahmen!$B$42+Annahmen!$B$43+G7*Annahmen!$B$40</f>
        <v/>
      </c>
      <c r="H22" s="26">
        <f>Annahmen!$B$42+Annahmen!$B$43+H7*Annahmen!$B$40</f>
        <v/>
      </c>
      <c r="I22" s="26">
        <f>Annahmen!$B$42+Annahmen!$B$43+I7*Annahmen!$B$40</f>
        <v/>
      </c>
      <c r="J22" s="26">
        <f>Annahmen!$B$42+Annahmen!$B$43+J7*Annahmen!$B$40</f>
        <v/>
      </c>
      <c r="K22" s="26">
        <f>Annahmen!$B$42+Annahmen!$B$43+K7*Annahmen!$B$40</f>
        <v/>
      </c>
      <c r="L22" s="26">
        <f>Annahmen!$B$42+Annahmen!$B$43+L7*Annahmen!$B$40</f>
        <v/>
      </c>
      <c r="M22" s="26">
        <f>Annahmen!$B$42+Annahmen!$B$43+M7*Annahmen!$B$40</f>
        <v/>
      </c>
      <c r="N22" s="26">
        <f>Annahmen!$B$42+Annahmen!$B$43+N7*Annahmen!$B$40</f>
        <v/>
      </c>
      <c r="O22" s="26">
        <f>Annahmen!$B$42+Annahmen!$B$43+O7*Annahmen!$B$40</f>
        <v/>
      </c>
      <c r="P22" s="26">
        <f>Annahmen!$B$42+Annahmen!$B$43+P7*Annahmen!$B$40</f>
        <v/>
      </c>
      <c r="Q22" s="26">
        <f>Annahmen!$B$42+Annahmen!$B$43+Q7*Annahmen!$B$40</f>
        <v/>
      </c>
      <c r="R22" s="26">
        <f>Annahmen!$B$42+Annahmen!$B$43+R7*Annahmen!$B$40</f>
        <v/>
      </c>
      <c r="S22" s="26">
        <f>Annahmen!$B$42+Annahmen!$B$43+S7*Annahmen!$B$40</f>
        <v/>
      </c>
      <c r="T22" s="26">
        <f>Annahmen!$B$42+Annahmen!$B$43+T7*Annahmen!$B$40</f>
        <v/>
      </c>
      <c r="U22" s="26">
        <f>Annahmen!$B$42+Annahmen!$B$43+U7*Annahmen!$B$40</f>
        <v/>
      </c>
      <c r="V22" s="26">
        <f>Annahmen!$B$42+Annahmen!$B$43+V7*Annahmen!$B$40</f>
        <v/>
      </c>
      <c r="W22" s="26">
        <f>Annahmen!$B$42+Annahmen!$B$43+W7*Annahmen!$B$40</f>
        <v/>
      </c>
      <c r="X22" s="26">
        <f>Annahmen!$B$42+Annahmen!$B$43+X7*Annahmen!$B$40</f>
        <v/>
      </c>
      <c r="Y22" s="26">
        <f>Annahmen!$B$42+Annahmen!$B$43+Y7*Annahmen!$B$40</f>
        <v/>
      </c>
    </row>
    <row r="23">
      <c r="A23" s="7" t="inlineStr">
        <is>
          <t>Ergebnis vor Steuern (= Einkommen Gründer)</t>
        </is>
      </c>
      <c r="B23" s="25">
        <f>B21-B22</f>
        <v/>
      </c>
      <c r="C23" s="25">
        <f>C21-C22</f>
        <v/>
      </c>
      <c r="D23" s="25">
        <f>D21-D22</f>
        <v/>
      </c>
      <c r="E23" s="25">
        <f>E21-E22</f>
        <v/>
      </c>
      <c r="F23" s="25">
        <f>F21-F22</f>
        <v/>
      </c>
      <c r="G23" s="25">
        <f>G21-G22</f>
        <v/>
      </c>
      <c r="H23" s="25">
        <f>H21-H22</f>
        <v/>
      </c>
      <c r="I23" s="25">
        <f>I21-I22</f>
        <v/>
      </c>
      <c r="J23" s="25">
        <f>J21-J22</f>
        <v/>
      </c>
      <c r="K23" s="25">
        <f>K21-K22</f>
        <v/>
      </c>
      <c r="L23" s="25">
        <f>L21-L22</f>
        <v/>
      </c>
      <c r="M23" s="25">
        <f>M21-M22</f>
        <v/>
      </c>
      <c r="N23" s="25">
        <f>N21-N22</f>
        <v/>
      </c>
      <c r="O23" s="25">
        <f>O21-O22</f>
        <v/>
      </c>
      <c r="P23" s="25">
        <f>P21-P22</f>
        <v/>
      </c>
      <c r="Q23" s="25">
        <f>Q21-Q22</f>
        <v/>
      </c>
      <c r="R23" s="25">
        <f>R21-R22</f>
        <v/>
      </c>
      <c r="S23" s="25">
        <f>S21-S22</f>
        <v/>
      </c>
      <c r="T23" s="25">
        <f>T21-T22</f>
        <v/>
      </c>
      <c r="U23" s="25">
        <f>U21-U22</f>
        <v/>
      </c>
      <c r="V23" s="25">
        <f>V21-V22</f>
        <v/>
      </c>
      <c r="W23" s="25">
        <f>W21-W22</f>
        <v/>
      </c>
      <c r="X23" s="25">
        <f>X21-X22</f>
        <v/>
      </c>
      <c r="Y23" s="25">
        <f>Y21-Y22</f>
        <v/>
      </c>
    </row>
    <row r="24">
      <c r="A24" s="7" t="inlineStr">
        <is>
          <t>Kasse kumuliert</t>
        </is>
      </c>
      <c r="B24" s="16">
        <f>B23</f>
        <v/>
      </c>
      <c r="C24" s="16">
        <f>B24+C23</f>
        <v/>
      </c>
      <c r="D24" s="16">
        <f>C24+D23</f>
        <v/>
      </c>
      <c r="E24" s="16">
        <f>D24+E23</f>
        <v/>
      </c>
      <c r="F24" s="16">
        <f>E24+F23</f>
        <v/>
      </c>
      <c r="G24" s="16">
        <f>F24+G23</f>
        <v/>
      </c>
      <c r="H24" s="16">
        <f>G24+H23</f>
        <v/>
      </c>
      <c r="I24" s="16">
        <f>H24+I23</f>
        <v/>
      </c>
      <c r="J24" s="16">
        <f>I24+J23</f>
        <v/>
      </c>
      <c r="K24" s="16">
        <f>J24+K23</f>
        <v/>
      </c>
      <c r="L24" s="16">
        <f>K24+L23</f>
        <v/>
      </c>
      <c r="M24" s="16">
        <f>L24+M23</f>
        <v/>
      </c>
      <c r="N24" s="16">
        <f>M24+N23</f>
        <v/>
      </c>
      <c r="O24" s="16">
        <f>N24+O23</f>
        <v/>
      </c>
      <c r="P24" s="16">
        <f>O24+P23</f>
        <v/>
      </c>
      <c r="Q24" s="16">
        <f>P24+Q23</f>
        <v/>
      </c>
      <c r="R24" s="16">
        <f>Q24+R23</f>
        <v/>
      </c>
      <c r="S24" s="16">
        <f>R24+S23</f>
        <v/>
      </c>
      <c r="T24" s="16">
        <f>S24+T23</f>
        <v/>
      </c>
      <c r="U24" s="16">
        <f>T24+U23</f>
        <v/>
      </c>
      <c r="V24" s="16">
        <f>U24+V23</f>
        <v/>
      </c>
      <c r="W24" s="16">
        <f>V24+W23</f>
        <v/>
      </c>
      <c r="X24" s="16">
        <f>W24+X23</f>
        <v/>
      </c>
      <c r="Y24" s="16">
        <f>X24+Y23</f>
        <v/>
      </c>
    </row>
    <row r="25">
      <c r="A25" s="5" t="inlineStr">
        <is>
          <t>Belegte Stunden</t>
        </is>
      </c>
      <c r="B25" s="22">
        <f>B9+B11*B8</f>
        <v/>
      </c>
      <c r="C25" s="22">
        <f>C9+C11*C8</f>
        <v/>
      </c>
      <c r="D25" s="22">
        <f>D9+D11*D8</f>
        <v/>
      </c>
      <c r="E25" s="22">
        <f>E9+E11*E8</f>
        <v/>
      </c>
      <c r="F25" s="22">
        <f>F9+F11*F8</f>
        <v/>
      </c>
      <c r="G25" s="22">
        <f>G9+G11*G8</f>
        <v/>
      </c>
      <c r="H25" s="22">
        <f>H9+H11*H8</f>
        <v/>
      </c>
      <c r="I25" s="22">
        <f>I9+I11*I8</f>
        <v/>
      </c>
      <c r="J25" s="22">
        <f>J9+J11*J8</f>
        <v/>
      </c>
      <c r="K25" s="22">
        <f>K9+K11*K8</f>
        <v/>
      </c>
      <c r="L25" s="22">
        <f>L9+L11*L8</f>
        <v/>
      </c>
      <c r="M25" s="22">
        <f>M9+M11*M8</f>
        <v/>
      </c>
      <c r="N25" s="22">
        <f>N9+N11*N8</f>
        <v/>
      </c>
      <c r="O25" s="22">
        <f>O9+O11*O8</f>
        <v/>
      </c>
      <c r="P25" s="22">
        <f>P9+P11*P8</f>
        <v/>
      </c>
      <c r="Q25" s="22">
        <f>Q9+Q11*Q8</f>
        <v/>
      </c>
      <c r="R25" s="22">
        <f>R9+R11*R8</f>
        <v/>
      </c>
      <c r="S25" s="22">
        <f>S9+S11*S8</f>
        <v/>
      </c>
      <c r="T25" s="22">
        <f>T9+T11*T8</f>
        <v/>
      </c>
      <c r="U25" s="22">
        <f>U9+U11*U8</f>
        <v/>
      </c>
      <c r="V25" s="22">
        <f>V9+V11*V8</f>
        <v/>
      </c>
      <c r="W25" s="22">
        <f>W9+W11*W8</f>
        <v/>
      </c>
      <c r="X25" s="22">
        <f>X9+X11*X8</f>
        <v/>
      </c>
      <c r="Y25" s="22">
        <f>Y9+Y11*Y8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2" customWidth="1" min="2" max="2"/>
    <col width="3" customWidth="1" min="3" max="3"/>
    <col width="36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>
      <c r="A1" s="1" t="inlineStr">
        <is>
          <t>Ausbau-Plan: Team ab dem Monat nach 10.000 € MRR (Solo Basis)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>
      <c r="A2" s="3" t="inlineStr">
        <is>
          <t>Startbestand kommt automatisch aus „Solo Basis“ (erster Monat mit MRR ≥ 10.000 €). Blaue Werte sind Eingaben.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>
      <c r="A4" s="4" t="inlineStr">
        <is>
          <t>Annahme</t>
        </is>
      </c>
      <c r="B4" s="4" t="inlineStr">
        <is>
          <t>Wert</t>
        </is>
      </c>
      <c r="C4" s="2" t="n"/>
      <c r="D4" s="4" t="inlineStr">
        <is>
          <t>Kennzahl</t>
        </is>
      </c>
      <c r="E4" s="4" t="inlineStr">
        <is>
          <t>Jun 27</t>
        </is>
      </c>
      <c r="F4" s="4" t="inlineStr">
        <is>
          <t>Jul 27</t>
        </is>
      </c>
      <c r="G4" s="4" t="inlineStr">
        <is>
          <t>Aug 27</t>
        </is>
      </c>
      <c r="H4" s="4" t="inlineStr">
        <is>
          <t>Sep 27</t>
        </is>
      </c>
      <c r="I4" s="4" t="inlineStr">
        <is>
          <t>Okt 27</t>
        </is>
      </c>
      <c r="J4" s="4" t="inlineStr">
        <is>
          <t>Nov 27</t>
        </is>
      </c>
      <c r="K4" s="4" t="inlineStr">
        <is>
          <t>Dez 27</t>
        </is>
      </c>
      <c r="L4" s="4" t="inlineStr">
        <is>
          <t>Jan 28</t>
        </is>
      </c>
      <c r="M4" s="4" t="inlineStr">
        <is>
          <t>Feb 28</t>
        </is>
      </c>
      <c r="N4" s="4" t="inlineStr">
        <is>
          <t>Mär 28</t>
        </is>
      </c>
      <c r="O4" s="4" t="inlineStr">
        <is>
          <t>Apr 28</t>
        </is>
      </c>
      <c r="P4" s="4" t="inlineStr">
        <is>
          <t>Mai 28</t>
        </is>
      </c>
      <c r="Q4" s="4" t="inlineStr">
        <is>
          <t>Summe 12 Monate</t>
        </is>
      </c>
    </row>
    <row r="5">
      <c r="A5" s="5" t="inlineStr">
        <is>
          <t>Ø Website-Auftrag</t>
        </is>
      </c>
      <c r="B5" s="12" t="n">
        <v>2600</v>
      </c>
      <c r="C5" s="2" t="n"/>
      <c r="D5" s="5" t="inlineStr">
        <is>
          <t>Personen im Vertrieb (inkl. Gründer)</t>
        </is>
      </c>
      <c r="E5" s="13" t="n">
        <v>1</v>
      </c>
      <c r="F5" s="13" t="n">
        <v>1</v>
      </c>
      <c r="G5" s="13" t="n">
        <v>2</v>
      </c>
      <c r="H5" s="13" t="n">
        <v>2</v>
      </c>
      <c r="I5" s="13" t="n">
        <v>3</v>
      </c>
      <c r="J5" s="13" t="n">
        <v>3</v>
      </c>
      <c r="K5" s="13" t="n">
        <v>4</v>
      </c>
      <c r="L5" s="13" t="n">
        <v>4</v>
      </c>
      <c r="M5" s="13" t="n">
        <v>5</v>
      </c>
      <c r="N5" s="13" t="n">
        <v>5</v>
      </c>
      <c r="O5" s="13" t="n">
        <v>6</v>
      </c>
      <c r="P5" s="13" t="n">
        <v>6</v>
      </c>
      <c r="Q5" s="2" t="n"/>
    </row>
    <row r="6">
      <c r="A6" s="5" t="inlineStr">
        <is>
          <t>Pflege &amp; Hosting / Monat</t>
        </is>
      </c>
      <c r="B6" s="12" t="n">
        <v>89</v>
      </c>
      <c r="C6" s="2" t="n"/>
      <c r="D6" s="5" t="inlineStr">
        <is>
          <t>Terminierer</t>
        </is>
      </c>
      <c r="E6" s="13" t="n">
        <v>0</v>
      </c>
      <c r="F6" s="13" t="n">
        <v>1</v>
      </c>
      <c r="G6" s="13" t="n">
        <v>1</v>
      </c>
      <c r="H6" s="13" t="n">
        <v>2</v>
      </c>
      <c r="I6" s="13" t="n">
        <v>2</v>
      </c>
      <c r="J6" s="13" t="n">
        <v>3</v>
      </c>
      <c r="K6" s="13" t="n">
        <v>3</v>
      </c>
      <c r="L6" s="13" t="n">
        <v>4</v>
      </c>
      <c r="M6" s="13" t="n">
        <v>4</v>
      </c>
      <c r="N6" s="13" t="n">
        <v>5</v>
      </c>
      <c r="O6" s="13" t="n">
        <v>5</v>
      </c>
      <c r="P6" s="13" t="n">
        <v>6</v>
      </c>
      <c r="Q6" s="2" t="n"/>
    </row>
    <row r="7">
      <c r="A7" s="5" t="inlineStr">
        <is>
          <t>SEO / Monat</t>
        </is>
      </c>
      <c r="B7" s="12" t="n">
        <v>650</v>
      </c>
      <c r="C7" s="2" t="n"/>
      <c r="D7" s="5" t="inlineStr">
        <is>
          <t>Angestellte Closer</t>
        </is>
      </c>
      <c r="E7" s="22">
        <f>MAX(0,E5-1)</f>
        <v/>
      </c>
      <c r="F7" s="22">
        <f>MAX(0,F5-1)</f>
        <v/>
      </c>
      <c r="G7" s="22">
        <f>MAX(0,G5-1)</f>
        <v/>
      </c>
      <c r="H7" s="22">
        <f>MAX(0,H5-1)</f>
        <v/>
      </c>
      <c r="I7" s="22">
        <f>MAX(0,I5-1)</f>
        <v/>
      </c>
      <c r="J7" s="22">
        <f>MAX(0,J5-1)</f>
        <v/>
      </c>
      <c r="K7" s="22">
        <f>MAX(0,K5-1)</f>
        <v/>
      </c>
      <c r="L7" s="22">
        <f>MAX(0,L5-1)</f>
        <v/>
      </c>
      <c r="M7" s="22">
        <f>MAX(0,M5-1)</f>
        <v/>
      </c>
      <c r="N7" s="22">
        <f>MAX(0,N5-1)</f>
        <v/>
      </c>
      <c r="O7" s="22">
        <f>MAX(0,O5-1)</f>
        <v/>
      </c>
      <c r="P7" s="22">
        <f>MAX(0,P5-1)</f>
        <v/>
      </c>
      <c r="Q7" s="2" t="n"/>
    </row>
    <row r="8">
      <c r="A8" s="5" t="inlineStr">
        <is>
          <t>Ads-Betreuung / Monat</t>
        </is>
      </c>
      <c r="B8" s="12" t="n">
        <v>290</v>
      </c>
      <c r="C8" s="2" t="n"/>
      <c r="D8" s="5" t="inlineStr">
        <is>
          <t>davon neu</t>
        </is>
      </c>
      <c r="E8" s="22">
        <f>E7</f>
        <v/>
      </c>
      <c r="F8" s="22">
        <f>MAX(0,F7-E7)</f>
        <v/>
      </c>
      <c r="G8" s="22">
        <f>MAX(0,G7-F7)</f>
        <v/>
      </c>
      <c r="H8" s="22">
        <f>MAX(0,H7-G7)</f>
        <v/>
      </c>
      <c r="I8" s="22">
        <f>MAX(0,I7-H7)</f>
        <v/>
      </c>
      <c r="J8" s="22">
        <f>MAX(0,J7-I7)</f>
        <v/>
      </c>
      <c r="K8" s="22">
        <f>MAX(0,K7-J7)</f>
        <v/>
      </c>
      <c r="L8" s="22">
        <f>MAX(0,L7-K7)</f>
        <v/>
      </c>
      <c r="M8" s="22">
        <f>MAX(0,M7-L7)</f>
        <v/>
      </c>
      <c r="N8" s="22">
        <f>MAX(0,N7-M7)</f>
        <v/>
      </c>
      <c r="O8" s="22">
        <f>MAX(0,O7-N7)</f>
        <v/>
      </c>
      <c r="P8" s="22">
        <f>MAX(0,P7-O7)</f>
        <v/>
      </c>
      <c r="Q8" s="2" t="n"/>
    </row>
    <row r="9">
      <c r="A9" s="5" t="inlineStr">
        <is>
          <t>Ads-Einrichtung</t>
        </is>
      </c>
      <c r="B9" s="12" t="n">
        <v>490</v>
      </c>
      <c r="C9" s="2" t="n"/>
      <c r="D9" s="5" t="inlineStr">
        <is>
          <t>Eingearbeitete Closer-Äquivalente</t>
        </is>
      </c>
      <c r="E9" s="22">
        <f>E7-(1-$B$42)*E8</f>
        <v/>
      </c>
      <c r="F9" s="22">
        <f>F7-(1-$B$42)*F8-(1-$B$43)*E8</f>
        <v/>
      </c>
      <c r="G9" s="22">
        <f>G7-(1-$B$42)*G8-(1-$B$43)*F8-(1-$B$44)*E8</f>
        <v/>
      </c>
      <c r="H9" s="22">
        <f>H7-(1-$B$42)*H8-(1-$B$43)*G8-(1-$B$44)*F8</f>
        <v/>
      </c>
      <c r="I9" s="22">
        <f>I7-(1-$B$42)*I8-(1-$B$43)*H8-(1-$B$44)*G8</f>
        <v/>
      </c>
      <c r="J9" s="22">
        <f>J7-(1-$B$42)*J8-(1-$B$43)*I8-(1-$B$44)*H8</f>
        <v/>
      </c>
      <c r="K9" s="22">
        <f>K7-(1-$B$42)*K8-(1-$B$43)*J8-(1-$B$44)*I8</f>
        <v/>
      </c>
      <c r="L9" s="22">
        <f>L7-(1-$B$42)*L8-(1-$B$43)*K8-(1-$B$44)*J8</f>
        <v/>
      </c>
      <c r="M9" s="22">
        <f>M7-(1-$B$42)*M8-(1-$B$43)*L8-(1-$B$44)*K8</f>
        <v/>
      </c>
      <c r="N9" s="22">
        <f>N7-(1-$B$42)*N8-(1-$B$43)*M8-(1-$B$44)*L8</f>
        <v/>
      </c>
      <c r="O9" s="22">
        <f>O7-(1-$B$42)*O8-(1-$B$43)*N8-(1-$B$44)*M8</f>
        <v/>
      </c>
      <c r="P9" s="22">
        <f>P7-(1-$B$42)*P8-(1-$B$43)*O8-(1-$B$44)*N8</f>
        <v/>
      </c>
      <c r="Q9" s="2" t="n"/>
    </row>
    <row r="10">
      <c r="A10" s="5" t="inlineStr">
        <is>
          <t>Wachstumsprogramm / Monat</t>
        </is>
      </c>
      <c r="B10" s="12" t="n">
        <v>1190</v>
      </c>
      <c r="C10" s="2" t="n"/>
      <c r="D10" s="7" t="inlineStr">
        <is>
          <t>Abschlüsse</t>
        </is>
      </c>
      <c r="E10" s="21">
        <f>$B$25+E9*$B$24</f>
        <v/>
      </c>
      <c r="F10" s="21">
        <f>$B$25+F9*$B$24</f>
        <v/>
      </c>
      <c r="G10" s="21">
        <f>$B$25+G9*$B$24</f>
        <v/>
      </c>
      <c r="H10" s="21">
        <f>$B$25+H9*$B$24</f>
        <v/>
      </c>
      <c r="I10" s="21">
        <f>$B$25+I9*$B$24</f>
        <v/>
      </c>
      <c r="J10" s="21">
        <f>$B$25+J9*$B$24</f>
        <v/>
      </c>
      <c r="K10" s="21">
        <f>$B$25+K9*$B$24</f>
        <v/>
      </c>
      <c r="L10" s="21">
        <f>$B$25+L9*$B$24</f>
        <v/>
      </c>
      <c r="M10" s="21">
        <f>$B$25+M9*$B$24</f>
        <v/>
      </c>
      <c r="N10" s="21">
        <f>$B$25+N9*$B$24</f>
        <v/>
      </c>
      <c r="O10" s="21">
        <f>$B$25+O9*$B$24</f>
        <v/>
      </c>
      <c r="P10" s="21">
        <f>$B$25+P9*$B$24</f>
        <v/>
      </c>
      <c r="Q10" s="21">
        <f>SUM(E10:P10)</f>
        <v/>
      </c>
    </row>
    <row r="11">
      <c r="A11" s="5" t="inlineStr">
        <is>
          <t>Programm-Einrichtung</t>
        </is>
      </c>
      <c r="B11" s="12" t="n">
        <v>1490</v>
      </c>
      <c r="C11" s="2" t="n"/>
      <c r="D11" s="5" t="inlineStr">
        <is>
          <t>neue Website-Kunden</t>
        </is>
      </c>
      <c r="E11" s="22">
        <f>E10*$B$14</f>
        <v/>
      </c>
      <c r="F11" s="22">
        <f>F10*$B$14</f>
        <v/>
      </c>
      <c r="G11" s="22">
        <f>G10*$B$14</f>
        <v/>
      </c>
      <c r="H11" s="22">
        <f>H10*$B$14</f>
        <v/>
      </c>
      <c r="I11" s="22">
        <f>I10*$B$14</f>
        <v/>
      </c>
      <c r="J11" s="22">
        <f>J10*$B$14</f>
        <v/>
      </c>
      <c r="K11" s="22">
        <f>K10*$B$14</f>
        <v/>
      </c>
      <c r="L11" s="22">
        <f>L10*$B$14</f>
        <v/>
      </c>
      <c r="M11" s="22">
        <f>M10*$B$14</f>
        <v/>
      </c>
      <c r="N11" s="22">
        <f>N10*$B$14</f>
        <v/>
      </c>
      <c r="O11" s="22">
        <f>O10*$B$14</f>
        <v/>
      </c>
      <c r="P11" s="22">
        <f>P10*$B$14</f>
        <v/>
      </c>
      <c r="Q11" s="21">
        <f>SUM(E11:P11)</f>
        <v/>
      </c>
    </row>
    <row r="12">
      <c r="A12" s="5" t="inlineStr">
        <is>
          <t>Recruiting-Einrichtung</t>
        </is>
      </c>
      <c r="B12" s="12" t="n">
        <v>1490</v>
      </c>
      <c r="C12" s="2" t="n"/>
      <c r="D12" s="5" t="inlineStr">
        <is>
          <t>neue SEO-Kunden</t>
        </is>
      </c>
      <c r="E12" s="22">
        <f>E11*$B$17</f>
        <v/>
      </c>
      <c r="F12" s="22">
        <f>F11*$B$17</f>
        <v/>
      </c>
      <c r="G12" s="22">
        <f>G11*$B$17</f>
        <v/>
      </c>
      <c r="H12" s="22">
        <f>H11*$B$17</f>
        <v/>
      </c>
      <c r="I12" s="22">
        <f>I11*$B$17</f>
        <v/>
      </c>
      <c r="J12" s="22">
        <f>J11*$B$17</f>
        <v/>
      </c>
      <c r="K12" s="22">
        <f>K11*$B$17</f>
        <v/>
      </c>
      <c r="L12" s="22">
        <f>L11*$B$17</f>
        <v/>
      </c>
      <c r="M12" s="22">
        <f>M11*$B$17</f>
        <v/>
      </c>
      <c r="N12" s="22">
        <f>N11*$B$17</f>
        <v/>
      </c>
      <c r="O12" s="22">
        <f>O11*$B$17</f>
        <v/>
      </c>
      <c r="P12" s="22">
        <f>P11*$B$17</f>
        <v/>
      </c>
      <c r="Q12" s="21">
        <f>SUM(E12:P12)</f>
        <v/>
      </c>
    </row>
    <row r="13">
      <c r="A13" s="5" t="inlineStr">
        <is>
          <t>Recruiting / Monat</t>
        </is>
      </c>
      <c r="B13" s="12" t="n">
        <v>790</v>
      </c>
      <c r="C13" s="2" t="n"/>
      <c r="D13" s="5" t="inlineStr">
        <is>
          <t>neue Ads-Kunden</t>
        </is>
      </c>
      <c r="E13" s="22">
        <f>E11*$B$18</f>
        <v/>
      </c>
      <c r="F13" s="22">
        <f>F11*$B$18</f>
        <v/>
      </c>
      <c r="G13" s="22">
        <f>G11*$B$18</f>
        <v/>
      </c>
      <c r="H13" s="22">
        <f>H11*$B$18</f>
        <v/>
      </c>
      <c r="I13" s="22">
        <f>I11*$B$18</f>
        <v/>
      </c>
      <c r="J13" s="22">
        <f>J11*$B$18</f>
        <v/>
      </c>
      <c r="K13" s="22">
        <f>K11*$B$18</f>
        <v/>
      </c>
      <c r="L13" s="22">
        <f>L11*$B$18</f>
        <v/>
      </c>
      <c r="M13" s="22">
        <f>M11*$B$18</f>
        <v/>
      </c>
      <c r="N13" s="22">
        <f>N11*$B$18</f>
        <v/>
      </c>
      <c r="O13" s="22">
        <f>O11*$B$18</f>
        <v/>
      </c>
      <c r="P13" s="22">
        <f>P11*$B$18</f>
        <v/>
      </c>
      <c r="Q13" s="21">
        <f>SUM(E13:P13)</f>
        <v/>
      </c>
    </row>
    <row r="14">
      <c r="A14" s="5" t="inlineStr">
        <is>
          <t>Anteil Website-Abschlüsse</t>
        </is>
      </c>
      <c r="B14" s="17" t="n">
        <v>0.5</v>
      </c>
      <c r="C14" s="2" t="n"/>
      <c r="D14" s="5" t="inlineStr">
        <is>
          <t>neue Programm-Kunden</t>
        </is>
      </c>
      <c r="E14" s="22">
        <f>E10*$B$15</f>
        <v/>
      </c>
      <c r="F14" s="22">
        <f>F10*$B$15</f>
        <v/>
      </c>
      <c r="G14" s="22">
        <f>G10*$B$15</f>
        <v/>
      </c>
      <c r="H14" s="22">
        <f>H10*$B$15</f>
        <v/>
      </c>
      <c r="I14" s="22">
        <f>I10*$B$15</f>
        <v/>
      </c>
      <c r="J14" s="22">
        <f>J10*$B$15</f>
        <v/>
      </c>
      <c r="K14" s="22">
        <f>K10*$B$15</f>
        <v/>
      </c>
      <c r="L14" s="22">
        <f>L10*$B$15</f>
        <v/>
      </c>
      <c r="M14" s="22">
        <f>M10*$B$15</f>
        <v/>
      </c>
      <c r="N14" s="22">
        <f>N10*$B$15</f>
        <v/>
      </c>
      <c r="O14" s="22">
        <f>O10*$B$15</f>
        <v/>
      </c>
      <c r="P14" s="22">
        <f>P10*$B$15</f>
        <v/>
      </c>
      <c r="Q14" s="21">
        <f>SUM(E14:P14)</f>
        <v/>
      </c>
    </row>
    <row r="15">
      <c r="A15" s="5" t="inlineStr">
        <is>
          <t>Anteil Programm-Abschlüsse</t>
        </is>
      </c>
      <c r="B15" s="17" t="n">
        <v>0.25</v>
      </c>
      <c r="C15" s="2" t="n"/>
      <c r="D15" s="5" t="inlineStr">
        <is>
          <t>neue Recruiting-Kunden</t>
        </is>
      </c>
      <c r="E15" s="22">
        <f>E10*$B$16</f>
        <v/>
      </c>
      <c r="F15" s="22">
        <f>F10*$B$16</f>
        <v/>
      </c>
      <c r="G15" s="22">
        <f>G10*$B$16</f>
        <v/>
      </c>
      <c r="H15" s="22">
        <f>H10*$B$16</f>
        <v/>
      </c>
      <c r="I15" s="22">
        <f>I10*$B$16</f>
        <v/>
      </c>
      <c r="J15" s="22">
        <f>J10*$B$16</f>
        <v/>
      </c>
      <c r="K15" s="22">
        <f>K10*$B$16</f>
        <v/>
      </c>
      <c r="L15" s="22">
        <f>L10*$B$16</f>
        <v/>
      </c>
      <c r="M15" s="22">
        <f>M10*$B$16</f>
        <v/>
      </c>
      <c r="N15" s="22">
        <f>N10*$B$16</f>
        <v/>
      </c>
      <c r="O15" s="22">
        <f>O10*$B$16</f>
        <v/>
      </c>
      <c r="P15" s="22">
        <f>P10*$B$16</f>
        <v/>
      </c>
      <c r="Q15" s="21">
        <f>SUM(E15:P15)</f>
        <v/>
      </c>
    </row>
    <row r="16">
      <c r="A16" s="5" t="inlineStr">
        <is>
          <t>Anteil Recruiting-Abschlüsse</t>
        </is>
      </c>
      <c r="B16" s="18" t="n">
        <v>0.25</v>
      </c>
      <c r="C16" s="2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</row>
    <row r="17">
      <c r="A17" s="5" t="inlineStr">
        <is>
          <t>Website-Abschlüsse mit SEO</t>
        </is>
      </c>
      <c r="B17" s="17" t="n">
        <v>0.35</v>
      </c>
      <c r="C17" s="2" t="n"/>
      <c r="D17" s="5" t="inlineStr">
        <is>
          <t>Aktive Pflege-Kunden</t>
        </is>
      </c>
      <c r="E17" s="22">
        <f>$B$47*(1-$B$19)+E11</f>
        <v/>
      </c>
      <c r="F17" s="22">
        <f>E17*(1-$B$19)+F11</f>
        <v/>
      </c>
      <c r="G17" s="22">
        <f>F17*(1-$B$19)+G11</f>
        <v/>
      </c>
      <c r="H17" s="22">
        <f>G17*(1-$B$19)+H11</f>
        <v/>
      </c>
      <c r="I17" s="22">
        <f>H17*(1-$B$19)+I11</f>
        <v/>
      </c>
      <c r="J17" s="22">
        <f>I17*(1-$B$19)+J11</f>
        <v/>
      </c>
      <c r="K17" s="22">
        <f>J17*(1-$B$19)+K11</f>
        <v/>
      </c>
      <c r="L17" s="22">
        <f>K17*(1-$B$19)+L11</f>
        <v/>
      </c>
      <c r="M17" s="22">
        <f>L17*(1-$B$19)+M11</f>
        <v/>
      </c>
      <c r="N17" s="22">
        <f>M17*(1-$B$19)+N11</f>
        <v/>
      </c>
      <c r="O17" s="22">
        <f>N17*(1-$B$19)+O11</f>
        <v/>
      </c>
      <c r="P17" s="22">
        <f>O17*(1-$B$19)+P11</f>
        <v/>
      </c>
      <c r="Q17" s="2" t="n"/>
    </row>
    <row r="18">
      <c r="A18" s="5" t="inlineStr">
        <is>
          <t>Website-Abschlüsse mit Ads</t>
        </is>
      </c>
      <c r="B18" s="17" t="n">
        <v>0.2</v>
      </c>
      <c r="C18" s="2" t="n"/>
      <c r="D18" s="5" t="inlineStr">
        <is>
          <t>Aktive SEO-Kunden</t>
        </is>
      </c>
      <c r="E18" s="22">
        <f>$B$48*(1-$B$20)+E12</f>
        <v/>
      </c>
      <c r="F18" s="22">
        <f>E18*(1-$B$20)+F12</f>
        <v/>
      </c>
      <c r="G18" s="22">
        <f>F18*(1-$B$20)+G12</f>
        <v/>
      </c>
      <c r="H18" s="22">
        <f>G18*(1-$B$20)+H12</f>
        <v/>
      </c>
      <c r="I18" s="22">
        <f>H18*(1-$B$20)+I12</f>
        <v/>
      </c>
      <c r="J18" s="22">
        <f>I18*(1-$B$20)+J12</f>
        <v/>
      </c>
      <c r="K18" s="22">
        <f>J18*(1-$B$20)+K12</f>
        <v/>
      </c>
      <c r="L18" s="22">
        <f>K18*(1-$B$20)+L12</f>
        <v/>
      </c>
      <c r="M18" s="22">
        <f>L18*(1-$B$20)+M12</f>
        <v/>
      </c>
      <c r="N18" s="22">
        <f>M18*(1-$B$20)+N12</f>
        <v/>
      </c>
      <c r="O18" s="22">
        <f>N18*(1-$B$20)+O12</f>
        <v/>
      </c>
      <c r="P18" s="22">
        <f>O18*(1-$B$20)+P12</f>
        <v/>
      </c>
      <c r="Q18" s="2" t="n"/>
    </row>
    <row r="19">
      <c r="A19" s="5" t="inlineStr">
        <is>
          <t>Kündigung Pflege</t>
        </is>
      </c>
      <c r="B19" s="17" t="n">
        <v>0.01</v>
      </c>
      <c r="C19" s="2" t="n"/>
      <c r="D19" s="5" t="inlineStr">
        <is>
          <t>Aktive Ads-Kunden</t>
        </is>
      </c>
      <c r="E19" s="22">
        <f>$B$51*(1-$B$21)+E13</f>
        <v/>
      </c>
      <c r="F19" s="22">
        <f>E19*(1-$B$21)+F13</f>
        <v/>
      </c>
      <c r="G19" s="22">
        <f>F19*(1-$B$21)+G13</f>
        <v/>
      </c>
      <c r="H19" s="22">
        <f>G19*(1-$B$21)+H13</f>
        <v/>
      </c>
      <c r="I19" s="22">
        <f>H19*(1-$B$21)+I13</f>
        <v/>
      </c>
      <c r="J19" s="22">
        <f>I19*(1-$B$21)+J13</f>
        <v/>
      </c>
      <c r="K19" s="22">
        <f>J19*(1-$B$21)+K13</f>
        <v/>
      </c>
      <c r="L19" s="22">
        <f>K19*(1-$B$21)+L13</f>
        <v/>
      </c>
      <c r="M19" s="22">
        <f>L19*(1-$B$21)+M13</f>
        <v/>
      </c>
      <c r="N19" s="22">
        <f>M19*(1-$B$21)+N13</f>
        <v/>
      </c>
      <c r="O19" s="22">
        <f>N19*(1-$B$21)+O13</f>
        <v/>
      </c>
      <c r="P19" s="22">
        <f>O19*(1-$B$21)+P13</f>
        <v/>
      </c>
      <c r="Q19" s="2" t="n"/>
    </row>
    <row r="20">
      <c r="A20" s="5" t="inlineStr">
        <is>
          <t>Kündigung SEO</t>
        </is>
      </c>
      <c r="B20" s="17" t="n">
        <v>0.03</v>
      </c>
      <c r="C20" s="2" t="n"/>
      <c r="D20" s="5" t="inlineStr">
        <is>
          <t>Aktive Programm-Kunden</t>
        </is>
      </c>
      <c r="E20" s="22">
        <f>$B$49*(1-$B$22)+E14</f>
        <v/>
      </c>
      <c r="F20" s="22">
        <f>E20*(1-$B$22)+F14</f>
        <v/>
      </c>
      <c r="G20" s="22">
        <f>F20*(1-$B$22)+G14</f>
        <v/>
      </c>
      <c r="H20" s="22">
        <f>G20*(1-$B$22)+H14</f>
        <v/>
      </c>
      <c r="I20" s="22">
        <f>H20*(1-$B$22)+I14</f>
        <v/>
      </c>
      <c r="J20" s="22">
        <f>I20*(1-$B$22)+J14</f>
        <v/>
      </c>
      <c r="K20" s="22">
        <f>J20*(1-$B$22)+K14</f>
        <v/>
      </c>
      <c r="L20" s="22">
        <f>K20*(1-$B$22)+L14</f>
        <v/>
      </c>
      <c r="M20" s="22">
        <f>L20*(1-$B$22)+M14</f>
        <v/>
      </c>
      <c r="N20" s="22">
        <f>M20*(1-$B$22)+N14</f>
        <v/>
      </c>
      <c r="O20" s="22">
        <f>N20*(1-$B$22)+O14</f>
        <v/>
      </c>
      <c r="P20" s="22">
        <f>O20*(1-$B$22)+P14</f>
        <v/>
      </c>
      <c r="Q20" s="2" t="n"/>
    </row>
    <row r="21">
      <c r="A21" s="5" t="inlineStr">
        <is>
          <t>Kündigung Ads</t>
        </is>
      </c>
      <c r="B21" s="17" t="n">
        <v>0.04</v>
      </c>
      <c r="C21" s="2" t="n"/>
      <c r="D21" s="5" t="inlineStr">
        <is>
          <t>Aktive Recruiting-Kunden</t>
        </is>
      </c>
      <c r="E21" s="22">
        <f>$B$50*(1-$B$23)+E15</f>
        <v/>
      </c>
      <c r="F21" s="22">
        <f>E21*(1-$B$23)+F15</f>
        <v/>
      </c>
      <c r="G21" s="22">
        <f>F21*(1-$B$23)+G15</f>
        <v/>
      </c>
      <c r="H21" s="22">
        <f>G21*(1-$B$23)+H15</f>
        <v/>
      </c>
      <c r="I21" s="22">
        <f>H21*(1-$B$23)+I15</f>
        <v/>
      </c>
      <c r="J21" s="22">
        <f>I21*(1-$B$23)+J15</f>
        <v/>
      </c>
      <c r="K21" s="22">
        <f>J21*(1-$B$23)+K15</f>
        <v/>
      </c>
      <c r="L21" s="22">
        <f>K21*(1-$B$23)+L15</f>
        <v/>
      </c>
      <c r="M21" s="22">
        <f>L21*(1-$B$23)+M15</f>
        <v/>
      </c>
      <c r="N21" s="22">
        <f>M21*(1-$B$23)+N15</f>
        <v/>
      </c>
      <c r="O21" s="22">
        <f>N21*(1-$B$23)+O15</f>
        <v/>
      </c>
      <c r="P21" s="22">
        <f>O21*(1-$B$23)+P15</f>
        <v/>
      </c>
      <c r="Q21" s="2" t="n"/>
    </row>
    <row r="22">
      <c r="A22" s="5" t="inlineStr">
        <is>
          <t>Kündigung Programm</t>
        </is>
      </c>
      <c r="B22" s="17" t="n">
        <v>0.02</v>
      </c>
      <c r="C22" s="2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</row>
    <row r="23">
      <c r="A23" s="5" t="inlineStr">
        <is>
          <t>Kündigung Recruiting</t>
        </is>
      </c>
      <c r="B23" s="17" t="n">
        <v>0.05</v>
      </c>
      <c r="C23" s="2" t="n"/>
      <c r="D23" s="7" t="inlineStr">
        <is>
          <t>MRR</t>
        </is>
      </c>
      <c r="E23" s="16">
        <f>E17*$B$6+E18*$B$7+E19*$B$8+E20*$B$10+E21*$B$13</f>
        <v/>
      </c>
      <c r="F23" s="16">
        <f>F17*$B$6+F18*$B$7+F19*$B$8+F20*$B$10+F21*$B$13</f>
        <v/>
      </c>
      <c r="G23" s="16">
        <f>G17*$B$6+G18*$B$7+G19*$B$8+G20*$B$10+G21*$B$13</f>
        <v/>
      </c>
      <c r="H23" s="16">
        <f>H17*$B$6+H18*$B$7+H19*$B$8+H20*$B$10+H21*$B$13</f>
        <v/>
      </c>
      <c r="I23" s="16">
        <f>I17*$B$6+I18*$B$7+I19*$B$8+I20*$B$10+I21*$B$13</f>
        <v/>
      </c>
      <c r="J23" s="16">
        <f>J17*$B$6+J18*$B$7+J19*$B$8+J20*$B$10+J21*$B$13</f>
        <v/>
      </c>
      <c r="K23" s="16">
        <f>K17*$B$6+K18*$B$7+K19*$B$8+K20*$B$10+K21*$B$13</f>
        <v/>
      </c>
      <c r="L23" s="16">
        <f>L17*$B$6+L18*$B$7+L19*$B$8+L20*$B$10+L21*$B$13</f>
        <v/>
      </c>
      <c r="M23" s="16">
        <f>M17*$B$6+M18*$B$7+M19*$B$8+M20*$B$10+M21*$B$13</f>
        <v/>
      </c>
      <c r="N23" s="16">
        <f>N17*$B$6+N18*$B$7+N19*$B$8+N20*$B$10+N21*$B$13</f>
        <v/>
      </c>
      <c r="O23" s="16">
        <f>O17*$B$6+O18*$B$7+O19*$B$8+O20*$B$10+O21*$B$13</f>
        <v/>
      </c>
      <c r="P23" s="16">
        <f>P17*$B$6+P18*$B$7+P19*$B$8+P20*$B$10+P21*$B$13</f>
        <v/>
      </c>
      <c r="Q23" s="2" t="n"/>
    </row>
    <row r="24">
      <c r="A24" s="5" t="inlineStr">
        <is>
          <t>Abschlüsse je eingearbeitetem Closer</t>
        </is>
      </c>
      <c r="B24" s="20" t="n">
        <v>5</v>
      </c>
      <c r="C24" s="2" t="n"/>
      <c r="D24" s="5" t="inlineStr">
        <is>
          <t>Einmalumsatz</t>
        </is>
      </c>
      <c r="E24" s="26">
        <f>E11*$B$5+E13*$B$9+E14*$B$11+E15*$B$12</f>
        <v/>
      </c>
      <c r="F24" s="26">
        <f>F11*$B$5+F13*$B$9+F14*$B$11+F15*$B$12</f>
        <v/>
      </c>
      <c r="G24" s="26">
        <f>G11*$B$5+G13*$B$9+G14*$B$11+G15*$B$12</f>
        <v/>
      </c>
      <c r="H24" s="26">
        <f>H11*$B$5+H13*$B$9+H14*$B$11+H15*$B$12</f>
        <v/>
      </c>
      <c r="I24" s="26">
        <f>I11*$B$5+I13*$B$9+I14*$B$11+I15*$B$12</f>
        <v/>
      </c>
      <c r="J24" s="26">
        <f>J11*$B$5+J13*$B$9+J14*$B$11+J15*$B$12</f>
        <v/>
      </c>
      <c r="K24" s="26">
        <f>K11*$B$5+K13*$B$9+K14*$B$11+K15*$B$12</f>
        <v/>
      </c>
      <c r="L24" s="26">
        <f>L11*$B$5+L13*$B$9+L14*$B$11+L15*$B$12</f>
        <v/>
      </c>
      <c r="M24" s="26">
        <f>M11*$B$5+M13*$B$9+M14*$B$11+M15*$B$12</f>
        <v/>
      </c>
      <c r="N24" s="26">
        <f>N11*$B$5+N13*$B$9+N14*$B$11+N15*$B$12</f>
        <v/>
      </c>
      <c r="O24" s="26">
        <f>O11*$B$5+O13*$B$9+O14*$B$11+O15*$B$12</f>
        <v/>
      </c>
      <c r="P24" s="26">
        <f>P11*$B$5+P13*$B$9+P14*$B$11+P15*$B$12</f>
        <v/>
      </c>
      <c r="Q24" s="16">
        <f>SUM(E24:P24)</f>
        <v/>
      </c>
    </row>
    <row r="25">
      <c r="A25" s="5" t="inlineStr">
        <is>
          <t>Abschlüsse Gründer / Monat</t>
        </is>
      </c>
      <c r="B25" s="13" t="n">
        <v>3</v>
      </c>
      <c r="C25" s="2" t="n"/>
      <c r="D25" s="7" t="inlineStr">
        <is>
          <t>Umsatz</t>
        </is>
      </c>
      <c r="E25" s="16">
        <f>E23+E24</f>
        <v/>
      </c>
      <c r="F25" s="16">
        <f>F23+F24</f>
        <v/>
      </c>
      <c r="G25" s="16">
        <f>G23+G24</f>
        <v/>
      </c>
      <c r="H25" s="16">
        <f>H23+H24</f>
        <v/>
      </c>
      <c r="I25" s="16">
        <f>I23+I24</f>
        <v/>
      </c>
      <c r="J25" s="16">
        <f>J23+J24</f>
        <v/>
      </c>
      <c r="K25" s="16">
        <f>K23+K24</f>
        <v/>
      </c>
      <c r="L25" s="16">
        <f>L23+L24</f>
        <v/>
      </c>
      <c r="M25" s="16">
        <f>M23+M24</f>
        <v/>
      </c>
      <c r="N25" s="16">
        <f>N23+N24</f>
        <v/>
      </c>
      <c r="O25" s="16">
        <f>O23+O24</f>
        <v/>
      </c>
      <c r="P25" s="16">
        <f>P23+P24</f>
        <v/>
      </c>
      <c r="Q25" s="16">
        <f>SUM(E25:P25)</f>
        <v/>
      </c>
    </row>
    <row r="26">
      <c r="A26" s="5" t="inlineStr">
        <is>
          <t>Fixkosten je Closer</t>
        </is>
      </c>
      <c r="B26" s="12" t="n">
        <v>3500</v>
      </c>
      <c r="C26" s="2" t="n"/>
      <c r="D26" s="5" t="inlineStr">
        <is>
          <t>Jahresumsatz-Tempo (Umsatz × 12)</t>
        </is>
      </c>
      <c r="E26" s="26">
        <f>E25*12</f>
        <v/>
      </c>
      <c r="F26" s="26">
        <f>F25*12</f>
        <v/>
      </c>
      <c r="G26" s="26">
        <f>G25*12</f>
        <v/>
      </c>
      <c r="H26" s="26">
        <f>H25*12</f>
        <v/>
      </c>
      <c r="I26" s="26">
        <f>I25*12</f>
        <v/>
      </c>
      <c r="J26" s="26">
        <f>J25*12</f>
        <v/>
      </c>
      <c r="K26" s="26">
        <f>K25*12</f>
        <v/>
      </c>
      <c r="L26" s="26">
        <f>L25*12</f>
        <v/>
      </c>
      <c r="M26" s="26">
        <f>M25*12</f>
        <v/>
      </c>
      <c r="N26" s="26">
        <f>N25*12</f>
        <v/>
      </c>
      <c r="O26" s="26">
        <f>O25*12</f>
        <v/>
      </c>
      <c r="P26" s="26">
        <f>P25*12</f>
        <v/>
      </c>
      <c r="Q26" s="2" t="n"/>
    </row>
    <row r="27">
      <c r="A27" s="5" t="inlineStr">
        <is>
          <t>Fixkosten je Terminierer</t>
        </is>
      </c>
      <c r="B27" s="12" t="n">
        <v>2600</v>
      </c>
      <c r="C27" s="2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</row>
    <row r="28">
      <c r="A28" s="5" t="inlineStr">
        <is>
          <t>Provision auf Umsatz</t>
        </is>
      </c>
      <c r="B28" s="17" t="n">
        <v>0.08</v>
      </c>
      <c r="C28" s="2" t="n"/>
      <c r="D28" s="5" t="inlineStr">
        <is>
          <t>Umsetzungsstunden</t>
        </is>
      </c>
      <c r="E28" s="22">
        <f>E11*$B$31+E18*$B$32+E19*$B$33+E20*$B$34+E15*$B$35+E21*$B$36+E17*$B$37</f>
        <v/>
      </c>
      <c r="F28" s="22">
        <f>F11*$B$31+F18*$B$32+F19*$B$33+F20*$B$34+F15*$B$35+F21*$B$36+F17*$B$37</f>
        <v/>
      </c>
      <c r="G28" s="22">
        <f>G11*$B$31+G18*$B$32+G19*$B$33+G20*$B$34+G15*$B$35+G21*$B$36+G17*$B$37</f>
        <v/>
      </c>
      <c r="H28" s="22">
        <f>H11*$B$31+H18*$B$32+H19*$B$33+H20*$B$34+H15*$B$35+H21*$B$36+H17*$B$37</f>
        <v/>
      </c>
      <c r="I28" s="22">
        <f>I11*$B$31+I18*$B$32+I19*$B$33+I20*$B$34+I15*$B$35+I21*$B$36+I17*$B$37</f>
        <v/>
      </c>
      <c r="J28" s="22">
        <f>J11*$B$31+J18*$B$32+J19*$B$33+J20*$B$34+J15*$B$35+J21*$B$36+J17*$B$37</f>
        <v/>
      </c>
      <c r="K28" s="22">
        <f>K11*$B$31+K18*$B$32+K19*$B$33+K20*$B$34+K15*$B$35+K21*$B$36+K17*$B$37</f>
        <v/>
      </c>
      <c r="L28" s="22">
        <f>L11*$B$31+L18*$B$32+L19*$B$33+L20*$B$34+L15*$B$35+L21*$B$36+L17*$B$37</f>
        <v/>
      </c>
      <c r="M28" s="22">
        <f>M11*$B$31+M18*$B$32+M19*$B$33+M20*$B$34+M15*$B$35+M21*$B$36+M17*$B$37</f>
        <v/>
      </c>
      <c r="N28" s="22">
        <f>N11*$B$31+N18*$B$32+N19*$B$33+N20*$B$34+N15*$B$35+N21*$B$36+N17*$B$37</f>
        <v/>
      </c>
      <c r="O28" s="22">
        <f>O11*$B$31+O18*$B$32+O19*$B$33+O20*$B$34+O15*$B$35+O21*$B$36+O17*$B$37</f>
        <v/>
      </c>
      <c r="P28" s="22">
        <f>P11*$B$31+P18*$B$32+P19*$B$33+P20*$B$34+P15*$B$35+P21*$B$36+P17*$B$37</f>
        <v/>
      </c>
      <c r="Q28" s="21">
        <f>SUM(E28:P28)</f>
        <v/>
      </c>
    </row>
    <row r="29">
      <c r="A29" s="5" t="inlineStr">
        <is>
          <t>Anteil Abschlüsse über Werbung</t>
        </is>
      </c>
      <c r="B29" s="17" t="n">
        <v>0.5</v>
      </c>
      <c r="C29" s="2" t="n"/>
      <c r="D29" s="5" t="inlineStr">
        <is>
          <t>Vollzeitstellen Umsetzung (140 h)</t>
        </is>
      </c>
      <c r="E29" s="22">
        <f>E28/140</f>
        <v/>
      </c>
      <c r="F29" s="22">
        <f>F28/140</f>
        <v/>
      </c>
      <c r="G29" s="22">
        <f>G28/140</f>
        <v/>
      </c>
      <c r="H29" s="22">
        <f>H28/140</f>
        <v/>
      </c>
      <c r="I29" s="22">
        <f>I28/140</f>
        <v/>
      </c>
      <c r="J29" s="22">
        <f>J28/140</f>
        <v/>
      </c>
      <c r="K29" s="22">
        <f>K28/140</f>
        <v/>
      </c>
      <c r="L29" s="22">
        <f>L28/140</f>
        <v/>
      </c>
      <c r="M29" s="22">
        <f>M28/140</f>
        <v/>
      </c>
      <c r="N29" s="22">
        <f>N28/140</f>
        <v/>
      </c>
      <c r="O29" s="22">
        <f>O28/140</f>
        <v/>
      </c>
      <c r="P29" s="22">
        <f>P28/140</f>
        <v/>
      </c>
      <c r="Q29" s="2" t="n"/>
    </row>
    <row r="30">
      <c r="A30" s="5" t="inlineStr">
        <is>
          <t>Werbekosten je Abschluss</t>
        </is>
      </c>
      <c r="B30" s="27" t="n">
        <v>900</v>
      </c>
      <c r="C30" s="2" t="n"/>
      <c r="D30" s="5" t="inlineStr">
        <is>
          <t>Kosten Umsetzung</t>
        </is>
      </c>
      <c r="E30" s="26">
        <f>E28*$B$38</f>
        <v/>
      </c>
      <c r="F30" s="26">
        <f>F28*$B$38</f>
        <v/>
      </c>
      <c r="G30" s="26">
        <f>G28*$B$38</f>
        <v/>
      </c>
      <c r="H30" s="26">
        <f>H28*$B$38</f>
        <v/>
      </c>
      <c r="I30" s="26">
        <f>I28*$B$38</f>
        <v/>
      </c>
      <c r="J30" s="26">
        <f>J28*$B$38</f>
        <v/>
      </c>
      <c r="K30" s="26">
        <f>K28*$B$38</f>
        <v/>
      </c>
      <c r="L30" s="26">
        <f>L28*$B$38</f>
        <v/>
      </c>
      <c r="M30" s="26">
        <f>M28*$B$38</f>
        <v/>
      </c>
      <c r="N30" s="26">
        <f>N28*$B$38</f>
        <v/>
      </c>
      <c r="O30" s="26">
        <f>O28*$B$38</f>
        <v/>
      </c>
      <c r="P30" s="26">
        <f>P28*$B$38</f>
        <v/>
      </c>
      <c r="Q30" s="16">
        <f>SUM(E30:P30)</f>
        <v/>
      </c>
    </row>
    <row r="31">
      <c r="A31" s="5" t="inlineStr">
        <is>
          <t>Std. je Website</t>
        </is>
      </c>
      <c r="B31" s="13" t="n">
        <v>20</v>
      </c>
      <c r="C31" s="2" t="n"/>
      <c r="D31" s="5" t="inlineStr">
        <is>
          <t>Kosten Vertrieb</t>
        </is>
      </c>
      <c r="E31" s="26">
        <f>E7*$B$26+E6*$B$27+E25*$B$28</f>
        <v/>
      </c>
      <c r="F31" s="26">
        <f>F7*$B$26+F6*$B$27+F25*$B$28</f>
        <v/>
      </c>
      <c r="G31" s="26">
        <f>G7*$B$26+G6*$B$27+G25*$B$28</f>
        <v/>
      </c>
      <c r="H31" s="26">
        <f>H7*$B$26+H6*$B$27+H25*$B$28</f>
        <v/>
      </c>
      <c r="I31" s="26">
        <f>I7*$B$26+I6*$B$27+I25*$B$28</f>
        <v/>
      </c>
      <c r="J31" s="26">
        <f>J7*$B$26+J6*$B$27+J25*$B$28</f>
        <v/>
      </c>
      <c r="K31" s="26">
        <f>K7*$B$26+K6*$B$27+K25*$B$28</f>
        <v/>
      </c>
      <c r="L31" s="26">
        <f>L7*$B$26+L6*$B$27+L25*$B$28</f>
        <v/>
      </c>
      <c r="M31" s="26">
        <f>M7*$B$26+M6*$B$27+M25*$B$28</f>
        <v/>
      </c>
      <c r="N31" s="26">
        <f>N7*$B$26+N6*$B$27+N25*$B$28</f>
        <v/>
      </c>
      <c r="O31" s="26">
        <f>O7*$B$26+O6*$B$27+O25*$B$28</f>
        <v/>
      </c>
      <c r="P31" s="26">
        <f>P7*$B$26+P6*$B$27+P25*$B$28</f>
        <v/>
      </c>
      <c r="Q31" s="16">
        <f>SUM(E31:P31)</f>
        <v/>
      </c>
    </row>
    <row r="32">
      <c r="A32" s="5" t="inlineStr">
        <is>
          <t>Std. je SEO-Kunde / Monat</t>
        </is>
      </c>
      <c r="B32" s="13" t="n">
        <v>6</v>
      </c>
      <c r="C32" s="2" t="n"/>
      <c r="D32" s="5" t="inlineStr">
        <is>
          <t>Werbebudget</t>
        </is>
      </c>
      <c r="E32" s="26">
        <f>E10*$B$29*$B$30</f>
        <v/>
      </c>
      <c r="F32" s="26">
        <f>F10*$B$29*$B$30</f>
        <v/>
      </c>
      <c r="G32" s="26">
        <f>G10*$B$29*$B$30</f>
        <v/>
      </c>
      <c r="H32" s="26">
        <f>H10*$B$29*$B$30</f>
        <v/>
      </c>
      <c r="I32" s="26">
        <f>I10*$B$29*$B$30</f>
        <v/>
      </c>
      <c r="J32" s="26">
        <f>J10*$B$29*$B$30</f>
        <v/>
      </c>
      <c r="K32" s="26">
        <f>K10*$B$29*$B$30</f>
        <v/>
      </c>
      <c r="L32" s="26">
        <f>L10*$B$29*$B$30</f>
        <v/>
      </c>
      <c r="M32" s="26">
        <f>M10*$B$29*$B$30</f>
        <v/>
      </c>
      <c r="N32" s="26">
        <f>N10*$B$29*$B$30</f>
        <v/>
      </c>
      <c r="O32" s="26">
        <f>O10*$B$29*$B$30</f>
        <v/>
      </c>
      <c r="P32" s="26">
        <f>P10*$B$29*$B$30</f>
        <v/>
      </c>
      <c r="Q32" s="16">
        <f>SUM(E32:P32)</f>
        <v/>
      </c>
    </row>
    <row r="33">
      <c r="A33" s="5" t="inlineStr">
        <is>
          <t>Std. je Ads-Kunde / Monat</t>
        </is>
      </c>
      <c r="B33" s="13" t="n">
        <v>3</v>
      </c>
      <c r="C33" s="2" t="n"/>
      <c r="D33" s="5" t="inlineStr">
        <is>
          <t>Gemeinkosten</t>
        </is>
      </c>
      <c r="E33" s="26">
        <f>$B$39+($B$40-$B$39)*0/11</f>
        <v/>
      </c>
      <c r="F33" s="26">
        <f>$B$39+($B$40-$B$39)*1/11</f>
        <v/>
      </c>
      <c r="G33" s="26">
        <f>$B$39+($B$40-$B$39)*2/11</f>
        <v/>
      </c>
      <c r="H33" s="26">
        <f>$B$39+($B$40-$B$39)*3/11</f>
        <v/>
      </c>
      <c r="I33" s="26">
        <f>$B$39+($B$40-$B$39)*4/11</f>
        <v/>
      </c>
      <c r="J33" s="26">
        <f>$B$39+($B$40-$B$39)*5/11</f>
        <v/>
      </c>
      <c r="K33" s="26">
        <f>$B$39+($B$40-$B$39)*6/11</f>
        <v/>
      </c>
      <c r="L33" s="26">
        <f>$B$39+($B$40-$B$39)*7/11</f>
        <v/>
      </c>
      <c r="M33" s="26">
        <f>$B$39+($B$40-$B$39)*8/11</f>
        <v/>
      </c>
      <c r="N33" s="26">
        <f>$B$39+($B$40-$B$39)*9/11</f>
        <v/>
      </c>
      <c r="O33" s="26">
        <f>$B$39+($B$40-$B$39)*10/11</f>
        <v/>
      </c>
      <c r="P33" s="26">
        <f>$B$39+($B$40-$B$39)*11/11</f>
        <v/>
      </c>
      <c r="Q33" s="16">
        <f>SUM(E33:P33)</f>
        <v/>
      </c>
    </row>
    <row r="34">
      <c r="A34" s="5" t="inlineStr">
        <is>
          <t>Std. je Programm-Kunde / Monat</t>
        </is>
      </c>
      <c r="B34" s="13" t="n">
        <v>13</v>
      </c>
      <c r="C34" s="2" t="n"/>
      <c r="D34" s="5" t="inlineStr">
        <is>
          <t>Gründergehalt</t>
        </is>
      </c>
      <c r="E34" s="26">
        <f>$B$41</f>
        <v/>
      </c>
      <c r="F34" s="26">
        <f>$B$41</f>
        <v/>
      </c>
      <c r="G34" s="26">
        <f>$B$41</f>
        <v/>
      </c>
      <c r="H34" s="26">
        <f>$B$41</f>
        <v/>
      </c>
      <c r="I34" s="26">
        <f>$B$41</f>
        <v/>
      </c>
      <c r="J34" s="26">
        <f>$B$41</f>
        <v/>
      </c>
      <c r="K34" s="26">
        <f>$B$41</f>
        <v/>
      </c>
      <c r="L34" s="26">
        <f>$B$41</f>
        <v/>
      </c>
      <c r="M34" s="26">
        <f>$B$41</f>
        <v/>
      </c>
      <c r="N34" s="26">
        <f>$B$41</f>
        <v/>
      </c>
      <c r="O34" s="26">
        <f>$B$41</f>
        <v/>
      </c>
      <c r="P34" s="26">
        <f>$B$41</f>
        <v/>
      </c>
      <c r="Q34" s="16">
        <f>SUM(E34:P34)</f>
        <v/>
      </c>
    </row>
    <row r="35">
      <c r="A35" s="5" t="inlineStr">
        <is>
          <t>Std. je Recruiting-Einrichtung</t>
        </is>
      </c>
      <c r="B35" s="13" t="n">
        <v>10</v>
      </c>
      <c r="C35" s="2" t="n"/>
      <c r="D35" s="7" t="inlineStr">
        <is>
          <t>Kosten gesamt</t>
        </is>
      </c>
      <c r="E35" s="16">
        <f>SUM(E30:E34)</f>
        <v/>
      </c>
      <c r="F35" s="16">
        <f>SUM(F30:F34)</f>
        <v/>
      </c>
      <c r="G35" s="16">
        <f>SUM(G30:G34)</f>
        <v/>
      </c>
      <c r="H35" s="16">
        <f>SUM(H30:H34)</f>
        <v/>
      </c>
      <c r="I35" s="16">
        <f>SUM(I30:I34)</f>
        <v/>
      </c>
      <c r="J35" s="16">
        <f>SUM(J30:J34)</f>
        <v/>
      </c>
      <c r="K35" s="16">
        <f>SUM(K30:K34)</f>
        <v/>
      </c>
      <c r="L35" s="16">
        <f>SUM(L30:L34)</f>
        <v/>
      </c>
      <c r="M35" s="16">
        <f>SUM(M30:M34)</f>
        <v/>
      </c>
      <c r="N35" s="16">
        <f>SUM(N30:N34)</f>
        <v/>
      </c>
      <c r="O35" s="16">
        <f>SUM(O30:O34)</f>
        <v/>
      </c>
      <c r="P35" s="16">
        <f>SUM(P30:P34)</f>
        <v/>
      </c>
      <c r="Q35" s="16">
        <f>SUM(E35:P35)</f>
        <v/>
      </c>
    </row>
    <row r="36">
      <c r="A36" s="5" t="inlineStr">
        <is>
          <t>Std. je Recruiting-Kunde / Monat</t>
        </is>
      </c>
      <c r="B36" s="13" t="n">
        <v>7</v>
      </c>
      <c r="C36" s="2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</row>
    <row r="37">
      <c r="A37" s="5" t="inlineStr">
        <is>
          <t>Std. je Pflege-Kunde / Monat</t>
        </is>
      </c>
      <c r="B37" s="13" t="n">
        <v>0.3</v>
      </c>
      <c r="C37" s="2" t="n"/>
      <c r="D37" s="7" t="inlineStr">
        <is>
          <t>Ergebnis vor Steuern</t>
        </is>
      </c>
      <c r="E37" s="16">
        <f>E25-E35</f>
        <v/>
      </c>
      <c r="F37" s="16">
        <f>F25-F35</f>
        <v/>
      </c>
      <c r="G37" s="16">
        <f>G25-G35</f>
        <v/>
      </c>
      <c r="H37" s="16">
        <f>H25-H35</f>
        <v/>
      </c>
      <c r="I37" s="16">
        <f>I25-I35</f>
        <v/>
      </c>
      <c r="J37" s="16">
        <f>J25-J35</f>
        <v/>
      </c>
      <c r="K37" s="16">
        <f>K25-K35</f>
        <v/>
      </c>
      <c r="L37" s="16">
        <f>L25-L35</f>
        <v/>
      </c>
      <c r="M37" s="16">
        <f>M25-M35</f>
        <v/>
      </c>
      <c r="N37" s="16">
        <f>N25-N35</f>
        <v/>
      </c>
      <c r="O37" s="16">
        <f>O25-O35</f>
        <v/>
      </c>
      <c r="P37" s="16">
        <f>P25-P35</f>
        <v/>
      </c>
      <c r="Q37" s="16">
        <f>SUM(E37:P37)</f>
        <v/>
      </c>
    </row>
    <row r="38">
      <c r="A38" s="5" t="inlineStr">
        <is>
          <t>Mischsatz Umsetzung je Stunde</t>
        </is>
      </c>
      <c r="B38" s="12" t="n">
        <v>46</v>
      </c>
      <c r="C38" s="2" t="n"/>
      <c r="D38" s="7" t="inlineStr">
        <is>
          <t>Kasse kumuliert</t>
        </is>
      </c>
      <c r="E38" s="16">
        <f>E37</f>
        <v/>
      </c>
      <c r="F38" s="16">
        <f>E38+F37</f>
        <v/>
      </c>
      <c r="G38" s="16">
        <f>F38+G37</f>
        <v/>
      </c>
      <c r="H38" s="16">
        <f>G38+H37</f>
        <v/>
      </c>
      <c r="I38" s="16">
        <f>H38+I37</f>
        <v/>
      </c>
      <c r="J38" s="16">
        <f>I38+J37</f>
        <v/>
      </c>
      <c r="K38" s="16">
        <f>J38+K37</f>
        <v/>
      </c>
      <c r="L38" s="16">
        <f>K38+L37</f>
        <v/>
      </c>
      <c r="M38" s="16">
        <f>L38+M37</f>
        <v/>
      </c>
      <c r="N38" s="16">
        <f>M38+N37</f>
        <v/>
      </c>
      <c r="O38" s="16">
        <f>N38+O37</f>
        <v/>
      </c>
      <c r="P38" s="16">
        <f>O38+P37</f>
        <v/>
      </c>
      <c r="Q38" s="2" t="n"/>
    </row>
    <row r="39">
      <c r="A39" s="5" t="inlineStr">
        <is>
          <t>Gemeinkosten erster Monat</t>
        </is>
      </c>
      <c r="B39" s="12" t="n">
        <v>1500</v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</row>
    <row r="40">
      <c r="A40" s="5" t="inlineStr">
        <is>
          <t>Gemeinkosten zwölfter Monat</t>
        </is>
      </c>
      <c r="B40" s="12" t="n">
        <v>4000</v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</row>
    <row r="41">
      <c r="A41" s="5" t="inlineStr">
        <is>
          <t>Gründergehalt / Monat</t>
        </is>
      </c>
      <c r="B41" s="12" t="n">
        <v>5000</v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</row>
    <row r="42">
      <c r="A42" s="5" t="inlineStr">
        <is>
          <t>Leistung neuer Closer im Monat 1</t>
        </is>
      </c>
      <c r="B42" s="17" t="n">
        <v>0.25</v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</row>
    <row r="43">
      <c r="A43" s="5" t="inlineStr">
        <is>
          <t>Leistung neuer Closer im Monat 2</t>
        </is>
      </c>
      <c r="B43" s="17" t="n">
        <v>0.5</v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</row>
    <row r="44">
      <c r="A44" s="5" t="inlineStr">
        <is>
          <t>Leistung neuer Closer im Monat 3</t>
        </is>
      </c>
      <c r="B44" s="17" t="n">
        <v>0.75</v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</row>
    <row r="46">
      <c r="A46" s="7" t="inlineStr">
        <is>
          <t>Zielmonat 10.000 € MRR (aus Solo Basis)</t>
        </is>
      </c>
      <c r="B46" s="28">
        <f>COUNTIF('Solo Basis'!B19:Y19,"&lt;10000")+1</f>
        <v/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</row>
    <row r="47">
      <c r="A47" s="5" t="inlineStr">
        <is>
          <t>Startbestand Pflege</t>
        </is>
      </c>
      <c r="B47" s="9">
        <f>INDEX('Solo Basis'!B14:Y14,1,$B$46)</f>
        <v/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</row>
    <row r="48">
      <c r="A48" s="5" t="inlineStr">
        <is>
          <t>Startbestand SEO</t>
        </is>
      </c>
      <c r="B48" s="9">
        <f>INDEX('Solo Basis'!B16:Y16,1,$B$46)</f>
        <v/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</row>
    <row r="49">
      <c r="A49" s="5" t="inlineStr">
        <is>
          <t>Startbestand Programm</t>
        </is>
      </c>
      <c r="B49" s="9">
        <f>INDEX('Solo Basis'!B15:Y15,1,$B$46)</f>
        <v/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</row>
    <row r="50">
      <c r="A50" s="5" t="inlineStr">
        <is>
          <t>Startbestand Recruiting</t>
        </is>
      </c>
      <c r="B50" s="9">
        <f>INDEX('Solo Basis'!B17:Y17,1,$B$46)</f>
        <v/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</row>
    <row r="51">
      <c r="A51" s="5" t="inlineStr">
        <is>
          <t>Startbestand Ads</t>
        </is>
      </c>
      <c r="B51" s="11" t="n">
        <v>0</v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2026-10-08T06:47:00Z</dcterms:created>
  <dcterms:modified xmlns:dcterms="http://purl.org/dc/terms/" xmlns:xsi="http://www.w3.org/2001/XMLSchema-instance" xsi:type="dcterms:W3CDTF">2026-10-08T06:47:00Z</dcterms:modified>
</cp:coreProperties>
</file>